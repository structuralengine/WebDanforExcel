
<file path=[Content_Types].xml><?xml version="1.0" encoding="utf-8"?>
<Types xmlns="http://schemas.openxmlformats.org/package/2006/content-types">
  <Default Extension="bin" ContentType="application/vnd.openxmlformats-officedocument.oleObject"/>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printerSettings/printerSettings1.bin" ContentType="application/vnd.openxmlformats-officedocument.spreadsheetml.printerSettings"/>
  <Override PartName="/xl/drawings/drawing2.xml" ContentType="application/vnd.openxmlformats-officedocument.drawing+xml"/>
  <Override PartName="/xl/ctrlProps/ctrlProp2.xml" ContentType="application/vnd.ms-excel.controlproperties+xml"/>
  <Override PartName="/xl/printerSettings/printerSettings2.bin" ContentType="application/vnd.openxmlformats-officedocument.spreadsheetml.printerSettings"/>
  <Override PartName="/xl/drawings/drawing3.xml" ContentType="application/vnd.openxmlformats-officedocument.drawing+xml"/>
  <Override PartName="/xl/ctrlProps/ctrlProp3.xml" ContentType="application/vnd.ms-excel.controlproperties+xml"/>
  <Override PartName="/xl/printerSettings/printerSettings3.bin" ContentType="application/vnd.openxmlformats-officedocument.spreadsheetml.printerSettings"/>
  <Override PartName="/xl/drawings/drawing4.xml" ContentType="application/vnd.openxmlformats-officedocument.drawing+xml"/>
  <Override PartName="/xl/ctrlProps/ctrlProp4.xml" ContentType="application/vnd.ms-excel.controlproperties+xml"/>
  <Override PartName="/xl/printerSettings/printerSettings4.bin" ContentType="application/vnd.openxmlformats-officedocument.spreadsheetml.printerSettings"/>
  <Override PartName="/xl/drawings/drawing5.xml" ContentType="application/vnd.openxmlformats-officedocument.drawing+xml"/>
  <Override PartName="/xl/ctrlProps/ctrlProp5.xml" ContentType="application/vnd.ms-excel.controlproperties+xml"/>
  <Override PartName="/xl/printerSettings/printerSettings5.bin" ContentType="application/vnd.openxmlformats-officedocument.spreadsheetml.printerSettings"/>
  <Override PartName="/xl/drawings/drawing6.xml" ContentType="application/vnd.openxmlformats-officedocument.drawing+xml"/>
  <Override PartName="/xl/ctrlProps/ctrlProp6.xml" ContentType="application/vnd.ms-excel.controlproperties+xml"/>
  <Override PartName="/xl/printerSettings/printerSettings6.bin" ContentType="application/vnd.openxmlformats-officedocument.spreadsheetml.printerSettings"/>
  <Override PartName="/xl/drawings/drawing7.xml" ContentType="application/vnd.openxmlformats-officedocument.drawing+xml"/>
  <Override PartName="/xl/ctrlProps/ctrlProp7.xml" ContentType="application/vnd.ms-excel.controlproperties+xml"/>
  <Override PartName="/xl/printerSettings/printerSettings7.bin" ContentType="application/vnd.openxmlformats-officedocument.spreadsheetml.printerSettings"/>
  <Override PartName="/xl/drawings/drawing8.xml" ContentType="application/vnd.openxmlformats-officedocument.drawing+xml"/>
  <Override PartName="/xl/ctrlProps/ctrlProp8.xml" ContentType="application/vnd.ms-excel.controlproperties+xml"/>
  <Override PartName="/xl/printerSettings/printerSettings8.bin" ContentType="application/vnd.openxmlformats-officedocument.spreadsheetml.printerSettings"/>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sac\Documents\Visual Studio 2017\Projects\WebDanforExcel\"/>
    </mc:Choice>
  </mc:AlternateContent>
  <bookViews>
    <workbookView xWindow="360" yWindow="75" windowWidth="19260" windowHeight="8550" tabRatio="753" activeTab="4"/>
  </bookViews>
  <sheets>
    <sheet name="ご利用方法" sheetId="13" r:id="rId1"/>
    <sheet name="許容応力度" sheetId="14" r:id="rId2"/>
    <sheet name="安全性破壊 曲げモーメント" sheetId="4" r:id="rId3"/>
    <sheet name="安全性破壊 せん断力" sheetId="8" r:id="rId4"/>
    <sheet name="耐久性 曲げひび割れ" sheetId="1" r:id="rId5"/>
    <sheet name="耐久性 せん断ひび割れ" sheetId="5" r:id="rId6"/>
    <sheet name="安全性疲労破壊 曲げモーメント" sheetId="9" r:id="rId7"/>
    <sheet name="安全性疲労破壊 せん断力" sheetId="11" r:id="rId8"/>
    <sheet name="復旧性 曲げモーメント" sheetId="12" r:id="rId9"/>
  </sheets>
  <functionGroups builtInGroupCount="18"/>
  <externalReferences>
    <externalReference r:id="rId10"/>
    <externalReference r:id="rId11"/>
    <externalReference r:id="rId12"/>
    <externalReference r:id="rId13"/>
    <externalReference r:id="rId14"/>
  </externalReferences>
  <definedNames>
    <definedName name="___DEL2" hidden="1">#REF!</definedName>
    <definedName name="__DEL2" hidden="1">#REF!</definedName>
    <definedName name="_1__123Graph_Aｸﾞﾗﾌ_1" localSheetId="1" hidden="1">#REF!</definedName>
    <definedName name="_1__123Graph_Aｸﾞﾗﾌ_1" hidden="1">#REF!</definedName>
    <definedName name="_10__123Graph_Cｸﾞﾗﾌ_4" localSheetId="1" hidden="1">#REF!</definedName>
    <definedName name="_10__123Graph_Cｸﾞﾗﾌ_4" hidden="1">#REF!</definedName>
    <definedName name="_11__123Graph_Dｸﾞﾗﾌ_1" hidden="1">[1]躯体の設計!$AO$1064:$AO$1065</definedName>
    <definedName name="_12__123Graph_Dｸﾞﾗﾌ_4" localSheetId="1" hidden="1">#REF!</definedName>
    <definedName name="_12__123Graph_Dｸﾞﾗﾌ_4" hidden="1">#REF!</definedName>
    <definedName name="_13__123Graph_Xｸﾞﾗﾌ_1" hidden="1">[1]躯体の設計!$AJ$1064:$AJ$1065</definedName>
    <definedName name="_14__123Graph_Xｸﾞﾗﾌ_2" localSheetId="1" hidden="1">#REF!</definedName>
    <definedName name="_14__123Graph_Xｸﾞﾗﾌ_2" hidden="1">#REF!</definedName>
    <definedName name="_15__123Graph_Xｸﾞﾗﾌ_3" localSheetId="1" hidden="1">#REF!</definedName>
    <definedName name="_15__123Graph_Xｸﾞﾗﾌ_3" hidden="1">#REF!</definedName>
    <definedName name="_2__123Graph_Aｸﾞﾗﾌ_2" localSheetId="1" hidden="1">#REF!</definedName>
    <definedName name="_2__123Graph_Aｸﾞﾗﾌ_2" hidden="1">#REF!</definedName>
    <definedName name="_3__123Graph_Aｸﾞﾗﾌ_3" localSheetId="1" hidden="1">#REF!</definedName>
    <definedName name="_3__123Graph_Aｸﾞﾗﾌ_3" hidden="1">#REF!</definedName>
    <definedName name="_4__123Graph_Aｸﾞﾗﾌ_4" localSheetId="1" hidden="1">#REF!</definedName>
    <definedName name="_4__123Graph_Aｸﾞﾗﾌ_4" hidden="1">#REF!</definedName>
    <definedName name="_5__123Graph_Bｸﾞﾗﾌ_1" localSheetId="1" hidden="1">#REF!</definedName>
    <definedName name="_5__123Graph_Bｸﾞﾗﾌ_1" hidden="1">#REF!</definedName>
    <definedName name="_6__123Graph_Bｸﾞﾗﾌ_2" localSheetId="1" hidden="1">#REF!</definedName>
    <definedName name="_6__123Graph_Bｸﾞﾗﾌ_2" hidden="1">#REF!</definedName>
    <definedName name="_7__123Graph_Bｸﾞﾗﾌ_3" localSheetId="1" hidden="1">#REF!</definedName>
    <definedName name="_7__123Graph_Bｸﾞﾗﾌ_3" hidden="1">#REF!</definedName>
    <definedName name="_8__123Graph_Bｸﾞﾗﾌ_4" localSheetId="1" hidden="1">#REF!</definedName>
    <definedName name="_8__123Graph_Bｸﾞﾗﾌ_4" hidden="1">#REF!</definedName>
    <definedName name="_9__123Graph_Cｸﾞﾗﾌ_1" hidden="1">[1]躯体の設計!$AN$1064:$AN$1065</definedName>
    <definedName name="_DEL2" localSheetId="1" hidden="1">#REF!</definedName>
    <definedName name="_DEL2" hidden="1">#REF!</definedName>
    <definedName name="_Fill" localSheetId="1" hidden="1">#REF!</definedName>
    <definedName name="_Fill" hidden="1">#REF!</definedName>
    <definedName name="_Table1_In1" localSheetId="1" hidden="1">[2]ｽｲﾍｲ!$C$22</definedName>
    <definedName name="_Table1_In1" hidden="1">[3]ｽｲﾍｲ!$C$22</definedName>
    <definedName name="_Table1_Out" localSheetId="1" hidden="1">[2]ｽｲﾍｲ!$D$22</definedName>
    <definedName name="_Table1_Out" hidden="1">[3]ｽｲﾍｲ!$D$22</definedName>
    <definedName name="_Table2" localSheetId="1" hidden="1">[4]ｽｲﾍｲ!$D$22</definedName>
    <definedName name="_Table2" hidden="1">[5]ｽｲﾍｲ!$D$22</definedName>
    <definedName name="anscount" hidden="1">1</definedName>
    <definedName name="DEL" localSheetId="1" hidden="1">#REF!</definedName>
    <definedName name="DEL" hidden="1">#REF!</definedName>
    <definedName name="HTML_CodePage" hidden="1">932</definedName>
    <definedName name="HTML_Control" localSheetId="1" hidden="1">{"'表紙・目次 '!$A$8:$K$8"}</definedName>
    <definedName name="HTML_Control" hidden="1">{"'表紙・目次 '!$A$8:$K$8"}</definedName>
    <definedName name="HTML_Description" hidden="1">""</definedName>
    <definedName name="HTML_Email" hidden="1">""</definedName>
    <definedName name="HTML_Header" hidden="1">"表紙・目次"</definedName>
    <definedName name="HTML_LastUpdate" hidden="1">"97/12/10"</definedName>
    <definedName name="HTML_LineAfter" hidden="1">FALSE</definedName>
    <definedName name="HTML_LineBefore" hidden="1">FALSE</definedName>
    <definedName name="HTML_Name" hidden="1">"ずう広電"</definedName>
    <definedName name="HTML_OBDlg2" hidden="1">TRUE</definedName>
    <definedName name="HTML_OBDlg4" hidden="1">TRUE</definedName>
    <definedName name="HTML_OS" hidden="1">0</definedName>
    <definedName name="HTML_PathFile" hidden="1">"B:\Zou設計計算\MyHTML.htm"</definedName>
    <definedName name="HTML_Title" hidden="1">"山陽本線97073-1"</definedName>
    <definedName name="_xlnm.Print_Area" localSheetId="2">'安全性破壊 曲げモーメント'!$A$1:$C$33</definedName>
    <definedName name="_xlnm.Print_Titles" localSheetId="1">許容応力度!$A:$A</definedName>
    <definedName name="ええ" localSheetId="1" hidden="1">{"'表紙・目次 '!$A$8:$K$8"}</definedName>
    <definedName name="ええ" hidden="1">{"'表紙・目次 '!$A$8:$K$8"}</definedName>
    <definedName name="パスワード">ご利用方法!$B$21</definedName>
    <definedName name="ユーザー名">ご利用方法!$B$19</definedName>
    <definedName name="終局せん断" localSheetId="1" hidden="1">{"'表紙・目次 '!$A$8:$K$8"}</definedName>
    <definedName name="終局せん断" hidden="1">{"'表紙・目次 '!$A$8:$K$8"}</definedName>
    <definedName name="設計条件" localSheetId="1" hidden="1">{"'表紙・目次 '!$A$8:$K$8"}</definedName>
    <definedName name="設計条件" hidden="1">{"'表紙・目次 '!$A$8:$K$8"}</definedName>
    <definedName name="抵抗モーメント" localSheetId="1" hidden="1">[4]ｽｲﾍｲ!$C$22</definedName>
    <definedName name="抵抗モーメント" hidden="1">[5]ｽｲﾍｲ!$C$22</definedName>
    <definedName name="白紙" localSheetId="1" hidden="1">[2]ｽｲﾍｲ!$C$22</definedName>
    <definedName name="白紙" hidden="1">[3]ｽｲﾍｲ!$C$22</definedName>
  </definedNames>
  <calcPr calcId="152511"/>
</workbook>
</file>

<file path=xl/calcChain.xml><?xml version="1.0" encoding="utf-8"?>
<calcChain xmlns="http://schemas.openxmlformats.org/spreadsheetml/2006/main">
  <c r="C26" i="14" l="1"/>
  <c r="C29" i="14"/>
  <c r="C30" i="14"/>
  <c r="C32" i="14" l="1"/>
  <c r="C34" i="14" s="1"/>
  <c r="C36" i="14"/>
  <c r="C40" i="14" l="1"/>
  <c r="C38" i="14"/>
  <c r="C39" i="14" s="1"/>
  <c r="C30" i="4"/>
  <c r="C32" i="4" s="1"/>
  <c r="C33" i="4" s="1"/>
  <c r="C23" i="4"/>
  <c r="C24" i="4" s="1"/>
  <c r="C19" i="4"/>
  <c r="C17" i="4"/>
  <c r="C16" i="4"/>
  <c r="B17" i="4"/>
  <c r="C17" i="14"/>
  <c r="C15" i="14"/>
  <c r="C18" i="14" l="1"/>
  <c r="C42" i="14"/>
  <c r="C34" i="5"/>
  <c r="C20" i="5"/>
  <c r="C17" i="5"/>
  <c r="C19" i="1"/>
  <c r="C16" i="1"/>
  <c r="C39" i="5"/>
  <c r="C36" i="5"/>
  <c r="C35" i="5"/>
  <c r="C25" i="1"/>
  <c r="C23" i="1"/>
  <c r="C40" i="5" l="1"/>
  <c r="C37" i="5"/>
  <c r="C31" i="1"/>
  <c r="C32" i="1" s="1"/>
  <c r="C26" i="1"/>
  <c r="C42" i="5"/>
  <c r="C43" i="5" l="1"/>
  <c r="C44" i="1"/>
  <c r="C46" i="1" s="1"/>
  <c r="C47" i="1" s="1"/>
  <c r="C53" i="5" l="1"/>
  <c r="C57" i="5" s="1"/>
  <c r="B16" i="4"/>
  <c r="C45" i="5"/>
  <c r="C49" i="5"/>
  <c r="C46" i="5" l="1"/>
  <c r="N110" i="13"/>
  <c r="N111" i="13"/>
  <c r="N112" i="13"/>
  <c r="N113" i="13"/>
  <c r="N114" i="13"/>
  <c r="N115" i="13" s="1"/>
  <c r="N116" i="13" s="1"/>
  <c r="B17" i="8"/>
  <c r="B53" i="8" s="1"/>
  <c r="B20" i="8"/>
  <c r="B19" i="4"/>
  <c r="B23" i="4"/>
  <c r="B24" i="4" s="1"/>
  <c r="B30" i="4"/>
  <c r="B32" i="4" s="1"/>
  <c r="B33" i="4" s="1"/>
  <c r="B17" i="11"/>
  <c r="B34" i="11"/>
  <c r="B20" i="11"/>
  <c r="B45" i="11"/>
  <c r="B47" i="11"/>
  <c r="B49" i="11"/>
  <c r="B52" i="11"/>
  <c r="B54" i="11"/>
  <c r="B60" i="11"/>
  <c r="B67" i="11"/>
  <c r="B70" i="11"/>
  <c r="B16" i="9"/>
  <c r="B19" i="9"/>
  <c r="B27" i="9"/>
  <c r="B29" i="9" s="1"/>
  <c r="B30" i="9" s="1"/>
  <c r="B17" i="5"/>
  <c r="B20" i="5"/>
  <c r="B34" i="5"/>
  <c r="B16" i="1"/>
  <c r="B19" i="1"/>
  <c r="B18" i="12"/>
  <c r="B21" i="12"/>
  <c r="B29" i="12"/>
  <c r="B31" i="12" s="1"/>
  <c r="B32" i="12" s="1"/>
  <c r="B38" i="8"/>
  <c r="B35" i="5"/>
  <c r="B25" i="1"/>
  <c r="B35" i="11"/>
  <c r="B36" i="11"/>
  <c r="B23" i="1"/>
  <c r="B42" i="8"/>
  <c r="B40" i="8"/>
  <c r="B39" i="11"/>
  <c r="B55" i="8"/>
  <c r="B39" i="8"/>
  <c r="B36" i="5"/>
  <c r="B39" i="5"/>
  <c r="C47" i="5"/>
  <c r="B47" i="8"/>
  <c r="C50" i="5" l="1"/>
  <c r="B40" i="11"/>
  <c r="B43" i="8"/>
  <c r="B40" i="5"/>
  <c r="B57" i="8"/>
  <c r="B58" i="8" s="1"/>
  <c r="B26" i="1"/>
  <c r="B31" i="1"/>
  <c r="B32" i="1" s="1"/>
  <c r="B37" i="5"/>
  <c r="B41" i="8"/>
  <c r="B37" i="11"/>
  <c r="B33" i="9"/>
  <c r="B37" i="9" s="1"/>
  <c r="B39" i="9" s="1"/>
  <c r="B40" i="9" s="1"/>
  <c r="C52" i="5"/>
  <c r="B42" i="5"/>
  <c r="B42" i="11"/>
  <c r="B45" i="8"/>
  <c r="C56" i="5" l="1"/>
  <c r="C58" i="5" s="1"/>
  <c r="B49" i="8"/>
  <c r="B51" i="8" s="1"/>
  <c r="B52" i="8" s="1"/>
  <c r="B43" i="5"/>
  <c r="B44" i="1"/>
  <c r="B46" i="1" s="1"/>
  <c r="B47" i="1" s="1"/>
  <c r="B46" i="11"/>
  <c r="B44" i="11"/>
  <c r="B48" i="11" l="1"/>
  <c r="B51" i="11" s="1"/>
  <c r="B53" i="5"/>
  <c r="B57" i="5" s="1"/>
  <c r="B45" i="5"/>
  <c r="B49" i="5"/>
  <c r="B46" i="5" l="1"/>
  <c r="B59" i="11"/>
  <c r="B53" i="11"/>
  <c r="B47" i="5"/>
  <c r="B50" i="5" l="1"/>
  <c r="B66" i="11"/>
  <c r="B69" i="11" s="1"/>
  <c r="B71" i="11" s="1"/>
  <c r="B52" i="5"/>
  <c r="B56" i="5" l="1"/>
  <c r="B58" i="5" s="1"/>
</calcChain>
</file>

<file path=xl/sharedStrings.xml><?xml version="1.0" encoding="utf-8"?>
<sst xmlns="http://schemas.openxmlformats.org/spreadsheetml/2006/main" count="557" uniqueCount="385">
  <si>
    <t>部材名称</t>
    <rPh sb="0" eb="1">
      <t>ブ</t>
    </rPh>
    <rPh sb="1" eb="2">
      <t>ザイ</t>
    </rPh>
    <rPh sb="2" eb="4">
      <t>メイショウ</t>
    </rPh>
    <phoneticPr fontId="2"/>
  </si>
  <si>
    <t>計算位置</t>
    <rPh sb="0" eb="2">
      <t>ケイサン</t>
    </rPh>
    <rPh sb="2" eb="4">
      <t>イチ</t>
    </rPh>
    <phoneticPr fontId="2"/>
  </si>
  <si>
    <t>断面形状</t>
    <rPh sb="0" eb="2">
      <t>ダンメン</t>
    </rPh>
    <rPh sb="2" eb="4">
      <t>ケイジョウ</t>
    </rPh>
    <phoneticPr fontId="2"/>
  </si>
  <si>
    <t>ｄ st (mm)</t>
    <phoneticPr fontId="2"/>
  </si>
  <si>
    <t>ｄ sc (mm)</t>
    <phoneticPr fontId="2"/>
  </si>
  <si>
    <t>環境条件</t>
    <phoneticPr fontId="2"/>
  </si>
  <si>
    <t xml:space="preserve">検討結果 </t>
    <phoneticPr fontId="2"/>
  </si>
  <si>
    <t>γc</t>
    <phoneticPr fontId="2"/>
  </si>
  <si>
    <t>γs</t>
    <phoneticPr fontId="2"/>
  </si>
  <si>
    <t>ｋ 1</t>
    <phoneticPr fontId="2"/>
  </si>
  <si>
    <t>ｋ 2</t>
    <phoneticPr fontId="2"/>
  </si>
  <si>
    <t>ｈｆ (mm)</t>
    <phoneticPr fontId="2"/>
  </si>
  <si>
    <t>ｂｆ (mm)</t>
    <phoneticPr fontId="2"/>
  </si>
  <si>
    <t>ｂｗ (mm)</t>
    <phoneticPr fontId="2"/>
  </si>
  <si>
    <t>Ａ st (mm2)</t>
    <phoneticPr fontId="2"/>
  </si>
  <si>
    <t>ｆ 'ck (N/mm2)</t>
    <phoneticPr fontId="2"/>
  </si>
  <si>
    <t>ｆ 'cd (N/mm2)</t>
    <phoneticPr fontId="2"/>
  </si>
  <si>
    <t>ｆ syk (N/mm2)</t>
    <phoneticPr fontId="2"/>
  </si>
  <si>
    <t>ｆ syd (N/mm2)</t>
    <phoneticPr fontId="2"/>
  </si>
  <si>
    <t>Ｍ d (kN･ m)</t>
    <phoneticPr fontId="2"/>
  </si>
  <si>
    <t>Ｎ 'd (kN)</t>
    <phoneticPr fontId="2"/>
  </si>
  <si>
    <t>σct (N/mm2)</t>
    <phoneticPr fontId="2"/>
  </si>
  <si>
    <t>σbl (N/mm2)</t>
    <phoneticPr fontId="2"/>
  </si>
  <si>
    <t>σct・ σbl</t>
    <phoneticPr fontId="2"/>
  </si>
  <si>
    <t>Ｍ pd (kN･ m)</t>
    <phoneticPr fontId="2"/>
  </si>
  <si>
    <t>Ｎ 'pd (kN)</t>
    <phoneticPr fontId="2"/>
  </si>
  <si>
    <t>σs (N/mm2)</t>
    <phoneticPr fontId="2"/>
  </si>
  <si>
    <t>σsl1 (N/mm2)</t>
    <phoneticPr fontId="2"/>
  </si>
  <si>
    <t>σs／ σsl1</t>
    <phoneticPr fontId="2"/>
  </si>
  <si>
    <t>検討結果</t>
    <phoneticPr fontId="2"/>
  </si>
  <si>
    <t>ｎ (Es/Ec)</t>
    <phoneticPr fontId="2"/>
  </si>
  <si>
    <t>σse (N/mm2)</t>
    <phoneticPr fontId="2"/>
  </si>
  <si>
    <t>Φ (mm)</t>
    <phoneticPr fontId="2"/>
  </si>
  <si>
    <t>ε'csd (10E-6)</t>
    <phoneticPr fontId="2"/>
  </si>
  <si>
    <t>ｋ 3</t>
    <phoneticPr fontId="2"/>
  </si>
  <si>
    <t>ｋ 4</t>
    <phoneticPr fontId="2"/>
  </si>
  <si>
    <t>ｗ (mm)</t>
    <phoneticPr fontId="2"/>
  </si>
  <si>
    <t>ｗ lim (mm)</t>
    <phoneticPr fontId="2"/>
  </si>
  <si>
    <t>ｈｆ (mm)</t>
    <phoneticPr fontId="2"/>
  </si>
  <si>
    <t>ｂｆ (mm)</t>
    <phoneticPr fontId="2"/>
  </si>
  <si>
    <t>ｂｗ (mm)</t>
    <phoneticPr fontId="2"/>
  </si>
  <si>
    <t>Ａ st (mm2)</t>
    <phoneticPr fontId="2"/>
  </si>
  <si>
    <t>ｄ st (mm)</t>
    <phoneticPr fontId="2"/>
  </si>
  <si>
    <t>ｄ sc (mm)</t>
    <phoneticPr fontId="2"/>
  </si>
  <si>
    <t>ｆ 'ck (N/mm2)</t>
    <phoneticPr fontId="2"/>
  </si>
  <si>
    <t>γc</t>
    <phoneticPr fontId="2"/>
  </si>
  <si>
    <t>ｆ 'cd (N/mm2)</t>
    <phoneticPr fontId="2"/>
  </si>
  <si>
    <t>ｆ syk (N/mm2)</t>
    <phoneticPr fontId="2"/>
  </si>
  <si>
    <t>γs</t>
    <phoneticPr fontId="2"/>
  </si>
  <si>
    <t>ｆ syd (N/mm2)</t>
    <phoneticPr fontId="2"/>
  </si>
  <si>
    <t>Ｍ d (kN･ m)</t>
    <phoneticPr fontId="2"/>
  </si>
  <si>
    <t>安全性［破壊：曲げモーメント及び軸方向力］</t>
    <rPh sb="0" eb="3">
      <t>アンゼンセイ</t>
    </rPh>
    <rPh sb="4" eb="6">
      <t>ハカイ</t>
    </rPh>
    <rPh sb="7" eb="8">
      <t>マ</t>
    </rPh>
    <rPh sb="14" eb="15">
      <t>オヨ</t>
    </rPh>
    <rPh sb="16" eb="19">
      <t>ジクホウコウ</t>
    </rPh>
    <rPh sb="19" eb="20">
      <t>チカラ</t>
    </rPh>
    <phoneticPr fontId="2"/>
  </si>
  <si>
    <t>γi・N'd/N'oud</t>
    <phoneticPr fontId="2"/>
  </si>
  <si>
    <t>Ｎ'oud (kN)</t>
    <phoneticPr fontId="2"/>
  </si>
  <si>
    <t>Ｎ'd (kN)</t>
    <phoneticPr fontId="2"/>
  </si>
  <si>
    <t>照査結果</t>
    <rPh sb="0" eb="2">
      <t>ショウサ</t>
    </rPh>
    <rPh sb="2" eb="4">
      <t>ケッカ</t>
    </rPh>
    <phoneticPr fontId="2"/>
  </si>
  <si>
    <t>ε'cu</t>
    <phoneticPr fontId="2"/>
  </si>
  <si>
    <t>x (mm)</t>
    <phoneticPr fontId="2"/>
  </si>
  <si>
    <t>Ｍu (kN･ m)</t>
    <phoneticPr fontId="2"/>
  </si>
  <si>
    <t>γb</t>
    <phoneticPr fontId="2"/>
  </si>
  <si>
    <t>Ｍud (kN･ m)</t>
    <phoneticPr fontId="2"/>
  </si>
  <si>
    <t>γi</t>
    <phoneticPr fontId="2"/>
  </si>
  <si>
    <t>γi・Md/Mud</t>
    <phoneticPr fontId="2"/>
  </si>
  <si>
    <t xml:space="preserve">照査結果 </t>
    <rPh sb="0" eb="2">
      <t>ショウサ</t>
    </rPh>
    <phoneticPr fontId="2"/>
  </si>
  <si>
    <t xml:space="preserve">検討結果 </t>
    <phoneticPr fontId="2"/>
  </si>
  <si>
    <t>耐久性［鋼材腐食：せん断ひび割れ］</t>
    <rPh sb="0" eb="3">
      <t>タイキュウセイ</t>
    </rPh>
    <rPh sb="4" eb="6">
      <t>コウザイ</t>
    </rPh>
    <rPh sb="6" eb="8">
      <t>フショク</t>
    </rPh>
    <rPh sb="11" eb="12">
      <t>ダン</t>
    </rPh>
    <rPh sb="14" eb="15">
      <t>ワ</t>
    </rPh>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</si>
  <si>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</si>
  <si>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</si>
  <si>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</si>
  <si>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</si>
  <si>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</si>
  <si>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</si>
  <si>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</si>
  <si>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</si>
  <si>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</si>
  <si>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Ｎ'pd (kN)</t>
    <phoneticPr fontId="2"/>
  </si>
  <si>
    <t>Ｖpd (kN)</t>
    <phoneticPr fontId="2"/>
  </si>
  <si>
    <t>Ｖrd (kN)</t>
    <phoneticPr fontId="2"/>
  </si>
  <si>
    <t>ｆvcd (N/mm2)</t>
    <phoneticPr fontId="2"/>
  </si>
  <si>
    <t>pc</t>
    <phoneticPr fontId="2"/>
  </si>
  <si>
    <t>βd</t>
    <phoneticPr fontId="2"/>
  </si>
  <si>
    <t>βp</t>
    <phoneticPr fontId="2"/>
  </si>
  <si>
    <t>永 Ｍn (kN･ m)</t>
    <rPh sb="0" eb="1">
      <t>ナガ</t>
    </rPh>
    <phoneticPr fontId="2"/>
  </si>
  <si>
    <t>久 Ｍo (kN･ m)</t>
    <rPh sb="0" eb="1">
      <t>ヒサシ</t>
    </rPh>
    <phoneticPr fontId="2"/>
  </si>
  <si>
    <t>＋ βn</t>
    <phoneticPr fontId="2"/>
  </si>
  <si>
    <t>変 γbc</t>
    <rPh sb="0" eb="1">
      <t>ヘン</t>
    </rPh>
    <phoneticPr fontId="2"/>
  </si>
  <si>
    <t>動 Ｖcd (kN)</t>
    <rPh sb="0" eb="1">
      <t>ドウ</t>
    </rPh>
    <phoneticPr fontId="2"/>
  </si>
  <si>
    <t>Ｖd (kN)</t>
    <phoneticPr fontId="2"/>
  </si>
  <si>
    <t>永 Ｍu (kN･ m)</t>
    <rPh sb="0" eb="1">
      <t>ナガ</t>
    </rPh>
    <phoneticPr fontId="2"/>
  </si>
  <si>
    <t>作 βn</t>
    <rPh sb="0" eb="1">
      <t>サク</t>
    </rPh>
    <phoneticPr fontId="2"/>
  </si>
  <si>
    <t>用 Ｖcd (kN)</t>
    <rPh sb="0" eb="1">
      <t>ヨウ</t>
    </rPh>
    <phoneticPr fontId="2"/>
  </si>
  <si>
    <t>γbs</t>
    <phoneticPr fontId="2"/>
  </si>
  <si>
    <t>Ｖsd (kN)</t>
    <phoneticPr fontId="2"/>
  </si>
  <si>
    <t>kr</t>
    <phoneticPr fontId="2"/>
  </si>
  <si>
    <t>σwpd (N/mm2)</t>
    <phoneticPr fontId="2"/>
  </si>
  <si>
    <t>σbpd (N/mm2)</t>
    <phoneticPr fontId="2"/>
  </si>
  <si>
    <t>環境条件</t>
    <rPh sb="0" eb="2">
      <t>カンキョウ</t>
    </rPh>
    <rPh sb="2" eb="4">
      <t>ジョウケン</t>
    </rPh>
    <phoneticPr fontId="2"/>
  </si>
  <si>
    <t>σsl2 (N/mm2)</t>
    <phoneticPr fontId="2"/>
  </si>
  <si>
    <t>σwpd/σsl2</t>
    <phoneticPr fontId="2"/>
  </si>
  <si>
    <t>σbpd/σsl2</t>
    <phoneticPr fontId="2"/>
  </si>
  <si>
    <t>鋼材位置</t>
    <rPh sb="0" eb="2">
      <t>コウザイ</t>
    </rPh>
    <rPh sb="2" eb="4">
      <t>イチ</t>
    </rPh>
    <phoneticPr fontId="2"/>
  </si>
  <si>
    <t>c (mm)</t>
    <phoneticPr fontId="2"/>
  </si>
  <si>
    <t>cs (mm)</t>
    <phoneticPr fontId="2"/>
  </si>
  <si>
    <t>n</t>
    <phoneticPr fontId="2"/>
  </si>
  <si>
    <t>Ａ se (mm2)</t>
    <phoneticPr fontId="2"/>
  </si>
  <si>
    <t>Ａ w (mm2)</t>
    <phoneticPr fontId="2"/>
  </si>
  <si>
    <t>Ａ b (mm2)</t>
    <phoneticPr fontId="2"/>
  </si>
  <si>
    <t>ｆwvd (N/mm2)</t>
    <phoneticPr fontId="2"/>
  </si>
  <si>
    <t>ｆbvd (N/mm2)</t>
    <phoneticPr fontId="2"/>
  </si>
  <si>
    <t>θs (°)</t>
    <phoneticPr fontId="2"/>
  </si>
  <si>
    <t>Ss (mm)</t>
    <phoneticPr fontId="2"/>
  </si>
  <si>
    <t>Sb (mm)</t>
    <phoneticPr fontId="2"/>
  </si>
  <si>
    <t>Ｎ'd (kN)</t>
    <phoneticPr fontId="2"/>
  </si>
  <si>
    <t>Ｖd (kN)</t>
    <phoneticPr fontId="2"/>
  </si>
  <si>
    <t>βd</t>
    <phoneticPr fontId="2"/>
  </si>
  <si>
    <t>pc</t>
    <phoneticPr fontId="2"/>
  </si>
  <si>
    <t>βp</t>
    <phoneticPr fontId="2"/>
  </si>
  <si>
    <t>安全性［破壊：せん断力］</t>
    <rPh sb="0" eb="3">
      <t>アンゼンセイ</t>
    </rPh>
    <rPh sb="4" eb="6">
      <t>ハカイ</t>
    </rPh>
    <rPh sb="9" eb="10">
      <t>ダン</t>
    </rPh>
    <rPh sb="10" eb="11">
      <t>チカラ</t>
    </rPh>
    <phoneticPr fontId="2"/>
  </si>
  <si>
    <t>ｆsvvk (N/mm2)</t>
    <phoneticPr fontId="2"/>
  </si>
  <si>
    <t>ｆsvvd (N/mm2)</t>
    <phoneticPr fontId="2"/>
  </si>
  <si>
    <t>Ｍd (kN・m)</t>
    <phoneticPr fontId="2"/>
  </si>
  <si>
    <t>εs</t>
    <phoneticPr fontId="2"/>
  </si>
  <si>
    <t>x (mm)</t>
    <phoneticPr fontId="2"/>
  </si>
  <si>
    <t>Ｍu (kN・m)</t>
    <phoneticPr fontId="2"/>
  </si>
  <si>
    <t>fvcd (N/mm2)</t>
    <phoneticPr fontId="2"/>
  </si>
  <si>
    <t>Ｍo (kN・m)</t>
    <phoneticPr fontId="2"/>
  </si>
  <si>
    <t>βn</t>
    <phoneticPr fontId="2"/>
  </si>
  <si>
    <t>γbc</t>
    <phoneticPr fontId="2"/>
  </si>
  <si>
    <t>Ｖcd (kN)</t>
    <phoneticPr fontId="2"/>
  </si>
  <si>
    <t>Ｖsd (kN)</t>
    <phoneticPr fontId="2"/>
  </si>
  <si>
    <t>Ｖsvd (kN)</t>
    <phoneticPr fontId="2"/>
  </si>
  <si>
    <t>γi</t>
    <phoneticPr fontId="2"/>
  </si>
  <si>
    <t>γi・Vd/Vyd</t>
    <phoneticPr fontId="2"/>
  </si>
  <si>
    <t>fwcd (N/mm2)</t>
    <phoneticPr fontId="2"/>
  </si>
  <si>
    <t>γb</t>
    <phoneticPr fontId="2"/>
  </si>
  <si>
    <t>Ｖwcd (kN)</t>
    <phoneticPr fontId="2"/>
  </si>
  <si>
    <t>γi・Vd/Vwcd</t>
    <phoneticPr fontId="2"/>
  </si>
  <si>
    <t>照査結果</t>
    <phoneticPr fontId="2"/>
  </si>
  <si>
    <t>εs</t>
    <phoneticPr fontId="2"/>
  </si>
  <si>
    <t>x (mm)</t>
    <phoneticPr fontId="2"/>
  </si>
  <si>
    <t>γb</t>
    <phoneticPr fontId="2"/>
  </si>
  <si>
    <t>γi</t>
    <phoneticPr fontId="2"/>
  </si>
  <si>
    <t>安全性［疲労破壊：曲げモーメント］</t>
    <rPh sb="0" eb="3">
      <t>アンゼンセイ</t>
    </rPh>
    <rPh sb="4" eb="6">
      <t>ヒロウ</t>
    </rPh>
    <rPh sb="6" eb="8">
      <t>ハカイ</t>
    </rPh>
    <rPh sb="9" eb="10">
      <t>マ</t>
    </rPh>
    <phoneticPr fontId="2"/>
  </si>
  <si>
    <t>ｆ suk (N/mm2)</t>
    <phoneticPr fontId="2"/>
  </si>
  <si>
    <t>Ｍmin (kN･ m)</t>
    <phoneticPr fontId="2"/>
  </si>
  <si>
    <t>σmin (N/mm2)</t>
    <phoneticPr fontId="2"/>
  </si>
  <si>
    <t>Ｍrd (kN･ m)</t>
    <phoneticPr fontId="2"/>
  </si>
  <si>
    <t>Ｎ'rd (kN)</t>
    <phoneticPr fontId="2"/>
  </si>
  <si>
    <t>σsrd (N/mm2)</t>
    <phoneticPr fontId="2"/>
  </si>
  <si>
    <t>fsr200 (N/mm2)</t>
    <phoneticPr fontId="2"/>
  </si>
  <si>
    <t>γi・σsrd/(fsr200/γb)</t>
    <phoneticPr fontId="2"/>
  </si>
  <si>
    <t>k</t>
    <phoneticPr fontId="2"/>
  </si>
  <si>
    <t>∑Ｎ (回)</t>
    <rPh sb="4" eb="5">
      <t>カイ</t>
    </rPh>
    <phoneticPr fontId="2"/>
  </si>
  <si>
    <t>φ (mm)</t>
    <phoneticPr fontId="2"/>
  </si>
  <si>
    <t>γs</t>
    <phoneticPr fontId="2"/>
  </si>
  <si>
    <t>frd (N/mm2)</t>
    <phoneticPr fontId="2"/>
  </si>
  <si>
    <t>γi・σsrd/(fsrrd/γb)</t>
    <phoneticPr fontId="2"/>
  </si>
  <si>
    <t>γs</t>
    <phoneticPr fontId="2"/>
  </si>
  <si>
    <t>安全性［疲労破壊：せん断力］</t>
    <rPh sb="0" eb="3">
      <t>アンゼンセイ</t>
    </rPh>
    <rPh sb="4" eb="6">
      <t>ヒロウ</t>
    </rPh>
    <rPh sb="6" eb="8">
      <t>ハカイ</t>
    </rPh>
    <rPh sb="11" eb="12">
      <t>ダン</t>
    </rPh>
    <rPh sb="12" eb="13">
      <t>チカラ</t>
    </rPh>
    <phoneticPr fontId="2"/>
  </si>
  <si>
    <t>θb (°)</t>
    <phoneticPr fontId="2"/>
  </si>
  <si>
    <t>∑Ｎw (回)</t>
    <rPh sb="5" eb="6">
      <t>カイ</t>
    </rPh>
    <phoneticPr fontId="2"/>
  </si>
  <si>
    <t>∑Ｎb (回)</t>
    <rPh sb="5" eb="6">
      <t>カイ</t>
    </rPh>
    <phoneticPr fontId="2"/>
  </si>
  <si>
    <t>αr</t>
    <phoneticPr fontId="2"/>
  </si>
  <si>
    <t>加工補正(w)</t>
    <rPh sb="0" eb="2">
      <t>カコウ</t>
    </rPh>
    <rPh sb="2" eb="4">
      <t>ホセイ</t>
    </rPh>
    <phoneticPr fontId="2"/>
  </si>
  <si>
    <t>加工補正(b)</t>
    <rPh sb="0" eb="2">
      <t>カコウ</t>
    </rPh>
    <rPh sb="2" eb="4">
      <t>ホセイ</t>
    </rPh>
    <phoneticPr fontId="2"/>
  </si>
  <si>
    <t>複線支持補正(w)</t>
    <rPh sb="0" eb="2">
      <t>フクセン</t>
    </rPh>
    <rPh sb="2" eb="4">
      <t>シジ</t>
    </rPh>
    <rPh sb="4" eb="6">
      <t>ホセイ</t>
    </rPh>
    <phoneticPr fontId="2"/>
  </si>
  <si>
    <t>複線支持補正(b)</t>
    <rPh sb="0" eb="2">
      <t>フクセン</t>
    </rPh>
    <rPh sb="2" eb="4">
      <t>シジ</t>
    </rPh>
    <rPh sb="4" eb="6">
      <t>ホセイ</t>
    </rPh>
    <phoneticPr fontId="2"/>
  </si>
  <si>
    <t>ｈｆ (mm)</t>
    <phoneticPr fontId="2"/>
  </si>
  <si>
    <t>ｂｆ (mm)</t>
    <phoneticPr fontId="2"/>
  </si>
  <si>
    <t>ｂｗ (mm)</t>
    <phoneticPr fontId="2"/>
  </si>
  <si>
    <t>Ａ st (mm2)</t>
    <phoneticPr fontId="2"/>
  </si>
  <si>
    <t>ｄ st (mm)</t>
    <phoneticPr fontId="2"/>
  </si>
  <si>
    <t>ｄ sc (mm)</t>
    <phoneticPr fontId="2"/>
  </si>
  <si>
    <t>Ａ se (mm2)</t>
    <phoneticPr fontId="2"/>
  </si>
  <si>
    <t>ｆ 'ck (N/mm2)</t>
    <phoneticPr fontId="2"/>
  </si>
  <si>
    <t>γc</t>
    <phoneticPr fontId="2"/>
  </si>
  <si>
    <t>ｆ 'cd (N/mm2)</t>
    <phoneticPr fontId="2"/>
  </si>
  <si>
    <t>ｆ syk (N/mm2)</t>
    <phoneticPr fontId="2"/>
  </si>
  <si>
    <t>ｆ syd (N/mm2)</t>
    <phoneticPr fontId="2"/>
  </si>
  <si>
    <t>Ａ w (mm2)</t>
    <phoneticPr fontId="2"/>
  </si>
  <si>
    <t>Ａ b (mm2)</t>
    <phoneticPr fontId="2"/>
  </si>
  <si>
    <t>ｆwvd (N/mm2)</t>
    <phoneticPr fontId="2"/>
  </si>
  <si>
    <t>ｆwuk (N/mm2)</t>
    <phoneticPr fontId="2"/>
  </si>
  <si>
    <t>ｆbyd (N/mm2)</t>
    <phoneticPr fontId="2"/>
  </si>
  <si>
    <t>ｆbuk (N/mm2)</t>
    <phoneticPr fontId="2"/>
  </si>
  <si>
    <t>θs (°)</t>
    <phoneticPr fontId="2"/>
  </si>
  <si>
    <t>θb (°)</t>
    <phoneticPr fontId="2"/>
  </si>
  <si>
    <t>Ss (mm)</t>
    <phoneticPr fontId="2"/>
  </si>
  <si>
    <t>Sb (mm)</t>
    <phoneticPr fontId="2"/>
  </si>
  <si>
    <t>fvcd (N/mm2)</t>
    <phoneticPr fontId="2"/>
  </si>
  <si>
    <t>βd</t>
    <phoneticPr fontId="2"/>
  </si>
  <si>
    <t>pc</t>
    <phoneticPr fontId="2"/>
  </si>
  <si>
    <t>βp</t>
    <phoneticPr fontId="2"/>
  </si>
  <si>
    <t>γbs</t>
    <phoneticPr fontId="2"/>
  </si>
  <si>
    <t>kr</t>
    <phoneticPr fontId="2"/>
  </si>
  <si>
    <t>σwrd (N/mm2)</t>
    <phoneticPr fontId="2"/>
  </si>
  <si>
    <t>σbrd (N/mm2)</t>
    <phoneticPr fontId="2"/>
  </si>
  <si>
    <t>σwpd (N/mm2)</t>
    <phoneticPr fontId="2"/>
  </si>
  <si>
    <t>σbpd (N/mm2)</t>
    <phoneticPr fontId="2"/>
  </si>
  <si>
    <t>fwr200 (N/mm2)</t>
    <phoneticPr fontId="2"/>
  </si>
  <si>
    <t>fbr200 (N/mm2)</t>
    <phoneticPr fontId="2"/>
  </si>
  <si>
    <t>γi・σwrd/(fwr200/γb)</t>
    <phoneticPr fontId="2"/>
  </si>
  <si>
    <t>γi・σbrd/(fbr200/γb)</t>
    <phoneticPr fontId="2"/>
  </si>
  <si>
    <t>kw</t>
    <phoneticPr fontId="2"/>
  </si>
  <si>
    <t>kb</t>
    <phoneticPr fontId="2"/>
  </si>
  <si>
    <t>φw (mm)</t>
    <phoneticPr fontId="2"/>
  </si>
  <si>
    <t>φb (mm)</t>
    <phoneticPr fontId="2"/>
  </si>
  <si>
    <t>αrw</t>
    <phoneticPr fontId="2"/>
  </si>
  <si>
    <t>αrb</t>
    <phoneticPr fontId="2"/>
  </si>
  <si>
    <t>γs</t>
    <phoneticPr fontId="2"/>
  </si>
  <si>
    <t>frdw (N/mm2)</t>
    <phoneticPr fontId="2"/>
  </si>
  <si>
    <t>frdb (N/mm2)</t>
    <phoneticPr fontId="2"/>
  </si>
  <si>
    <t>γi</t>
    <phoneticPr fontId="2"/>
  </si>
  <si>
    <t>γi・σwrd/(frdw/γb)</t>
    <phoneticPr fontId="2"/>
  </si>
  <si>
    <t>γi・σbrd/(frdb/γb)</t>
    <phoneticPr fontId="2"/>
  </si>
  <si>
    <t>照査結果</t>
    <phoneticPr fontId="2"/>
  </si>
  <si>
    <t>復旧性［損傷：曲げモーメント］</t>
    <rPh sb="0" eb="3">
      <t>フッキュウセイ</t>
    </rPh>
    <rPh sb="4" eb="6">
      <t>ソンショウ</t>
    </rPh>
    <rPh sb="7" eb="8">
      <t>マ</t>
    </rPh>
    <phoneticPr fontId="2"/>
  </si>
  <si>
    <t>Ｍy (kN･ m)</t>
    <phoneticPr fontId="2"/>
  </si>
  <si>
    <t>γi・Md/Myd</t>
    <phoneticPr fontId="2"/>
  </si>
  <si>
    <t>Ｍyd (kN･ m)</t>
    <phoneticPr fontId="2"/>
  </si>
  <si>
    <t>ε'c</t>
    <phoneticPr fontId="2"/>
  </si>
  <si>
    <t>降伏着目位置</t>
    <phoneticPr fontId="2"/>
  </si>
  <si>
    <t>降伏する鋼材</t>
    <phoneticPr fontId="2"/>
  </si>
  <si>
    <t>6部材(0.239)</t>
    <rPh sb="1" eb="2">
      <t>ブ</t>
    </rPh>
    <rPh sb="2" eb="3">
      <t>ザイ</t>
    </rPh>
    <phoneticPr fontId="2"/>
  </si>
  <si>
    <t>側壁前面(下側)</t>
    <rPh sb="0" eb="2">
      <t>ソクヘキ</t>
    </rPh>
    <rPh sb="2" eb="4">
      <t>ゼンメン</t>
    </rPh>
    <rPh sb="5" eb="7">
      <t>シタガワ</t>
    </rPh>
    <phoneticPr fontId="2"/>
  </si>
  <si>
    <t>矩形</t>
    <rPh sb="0" eb="2">
      <t>クケイ</t>
    </rPh>
    <phoneticPr fontId="2"/>
  </si>
  <si>
    <t>一般の環境</t>
  </si>
  <si>
    <t>ｗ／ｗ lim</t>
    <phoneticPr fontId="2"/>
  </si>
  <si>
    <t>耐久性 [鋼材腐食：曲げひび割れの検討]</t>
    <rPh sb="0" eb="3">
      <t>タイキュウセイ</t>
    </rPh>
    <rPh sb="5" eb="7">
      <t>コウザイ</t>
    </rPh>
    <rPh sb="7" eb="9">
      <t>フショク</t>
    </rPh>
    <rPh sb="10" eb="11">
      <t>マ</t>
    </rPh>
    <rPh sb="14" eb="15">
      <t>ワ</t>
    </rPh>
    <rPh sb="17" eb="19">
      <t>ケントウ</t>
    </rPh>
    <phoneticPr fontId="2"/>
  </si>
  <si>
    <t>εs</t>
    <phoneticPr fontId="2"/>
  </si>
  <si>
    <t>重心位置</t>
    <rPh sb="0" eb="2">
      <t>ジュウシン</t>
    </rPh>
    <rPh sb="2" eb="4">
      <t>イチ</t>
    </rPh>
    <phoneticPr fontId="2"/>
  </si>
  <si>
    <t>上側</t>
    <rPh sb="0" eb="2">
      <t>ウエガワ</t>
    </rPh>
    <phoneticPr fontId="2"/>
  </si>
  <si>
    <t>Ｖd／0.7・Ｖcd</t>
    <phoneticPr fontId="2"/>
  </si>
  <si>
    <r>
      <t>加工補正 γ</t>
    </r>
    <r>
      <rPr>
        <vertAlign val="subscript"/>
        <sz val="9"/>
        <rFont val="ＭＳ 明朝"/>
        <family val="1"/>
        <charset val="128"/>
      </rPr>
      <t>1</t>
    </r>
    <rPh sb="0" eb="2">
      <t>カコウ</t>
    </rPh>
    <rPh sb="2" eb="4">
      <t>ホセイ</t>
    </rPh>
    <phoneticPr fontId="2"/>
  </si>
  <si>
    <r>
      <t>複線支持補正 γ</t>
    </r>
    <r>
      <rPr>
        <vertAlign val="subscript"/>
        <sz val="9"/>
        <rFont val="ＭＳ 明朝"/>
        <family val="1"/>
        <charset val="128"/>
      </rPr>
      <t>2</t>
    </r>
    <rPh sb="0" eb="2">
      <t>フクセン</t>
    </rPh>
    <rPh sb="2" eb="4">
      <t>シジ</t>
    </rPh>
    <rPh sb="4" eb="6">
      <t>ホセイ</t>
    </rPh>
    <phoneticPr fontId="2"/>
  </si>
  <si>
    <t>Ｍo (kN･ m)</t>
    <phoneticPr fontId="2"/>
  </si>
  <si>
    <t>Ｎ'pd (kN)</t>
    <phoneticPr fontId="2"/>
  </si>
  <si>
    <t>βn</t>
    <phoneticPr fontId="2"/>
  </si>
  <si>
    <t>γbc</t>
    <phoneticPr fontId="2"/>
  </si>
  <si>
    <t>Ｖcd (kN)</t>
    <phoneticPr fontId="2"/>
  </si>
  <si>
    <t>Ｍu (kN･ m)</t>
    <phoneticPr fontId="2"/>
  </si>
  <si>
    <t>2部材(0.750)</t>
    <rPh sb="1" eb="2">
      <t>ブ</t>
    </rPh>
    <rPh sb="2" eb="3">
      <t>ザイ</t>
    </rPh>
    <phoneticPr fontId="2"/>
  </si>
  <si>
    <t>h/2(上側)</t>
    <rPh sb="4" eb="6">
      <t>ウワガワ</t>
    </rPh>
    <phoneticPr fontId="2"/>
  </si>
  <si>
    <t>ｈ,R (mm)</t>
  </si>
  <si>
    <t>Ａ sc(mm2)</t>
  </si>
  <si>
    <t>矩形</t>
  </si>
  <si>
    <t>D32-24
D29-32</t>
    <phoneticPr fontId="2"/>
  </si>
  <si>
    <t>基本条件</t>
    <rPh sb="0" eb="2">
      <t>キホン</t>
    </rPh>
    <rPh sb="2" eb="4">
      <t>ジョウケン</t>
    </rPh>
    <phoneticPr fontId="2"/>
  </si>
  <si>
    <t>軸方向力
Nd(kN)</t>
    <rPh sb="0" eb="1">
      <t>ジク</t>
    </rPh>
    <rPh sb="1" eb="3">
      <t>ホウコウ</t>
    </rPh>
    <rPh sb="3" eb="4">
      <t>リョク</t>
    </rPh>
    <phoneticPr fontId="2"/>
  </si>
  <si>
    <t>せん断ｽﾊﾟﾝ
La(mm)</t>
    <rPh sb="2" eb="3">
      <t>ダン</t>
    </rPh>
    <phoneticPr fontId="2"/>
  </si>
  <si>
    <t>コンクリート材料</t>
    <rPh sb="6" eb="8">
      <t>ザイリョウ</t>
    </rPh>
    <phoneticPr fontId="2"/>
  </si>
  <si>
    <t>鉄筋</t>
    <rPh sb="0" eb="2">
      <t>テッキン</t>
    </rPh>
    <phoneticPr fontId="2"/>
  </si>
  <si>
    <t>鉄筋材料</t>
    <rPh sb="0" eb="2">
      <t>テッキン</t>
    </rPh>
    <rPh sb="2" eb="4">
      <t>ザイリョウ</t>
    </rPh>
    <phoneticPr fontId="2"/>
  </si>
  <si>
    <t>高さ
(mm)</t>
    <rPh sb="0" eb="1">
      <t>タカ</t>
    </rPh>
    <phoneticPr fontId="2"/>
  </si>
  <si>
    <t>上辺幅
(mm)</t>
    <rPh sb="0" eb="1">
      <t>ウエ</t>
    </rPh>
    <rPh sb="1" eb="2">
      <t>ヘン</t>
    </rPh>
    <rPh sb="2" eb="3">
      <t>ハバ</t>
    </rPh>
    <phoneticPr fontId="2"/>
  </si>
  <si>
    <t>下辺幅
(mm)</t>
    <rPh sb="0" eb="1">
      <t>シタ</t>
    </rPh>
    <rPh sb="1" eb="2">
      <t>ヘン</t>
    </rPh>
    <rPh sb="2" eb="3">
      <t>ハバ</t>
    </rPh>
    <phoneticPr fontId="2"/>
  </si>
  <si>
    <t>材料
ID</t>
    <rPh sb="0" eb="2">
      <t>ザイリョウ</t>
    </rPh>
    <phoneticPr fontId="2"/>
  </si>
  <si>
    <r>
      <t>基準強度
fck(N/mm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</si>
  <si>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γc</t>
    <rPh sb="0" eb="2">
      <t>ザイリョウ</t>
    </rPh>
    <rPh sb="2" eb="4">
      <t>ケイスウ</t>
    </rPh>
    <phoneticPr fontId="2"/>
  </si>
  <si>
    <r>
      <t>ヤング係数
E(kN/mm</t>
    </r>
    <r>
      <rPr>
        <vertAlign val="superscript"/>
        <sz val="10"/>
        <color indexed="8"/>
        <rFont val="ＭＳ 明朝"/>
        <family val="1"/>
        <charset val="128"/>
      </rPr>
      <t>2</t>
    </r>
    <r>
      <rPr>
        <sz val="10"/>
        <color indexed="8"/>
        <rFont val="ＭＳ 明朝"/>
        <family val="1"/>
        <charset val="128"/>
      </rPr>
      <t>)</t>
    </r>
    <rPh sb="3" eb="5">
      <t>ケイスウ</t>
    </rPh>
    <phoneticPr fontId="2"/>
  </si>
  <si>
    <t>粗骨材の
最大寸法
(mm)</t>
    <rPh sb="0" eb="1">
      <t>アラ</t>
    </rPh>
    <rPh sb="1" eb="2">
      <t>ホネ</t>
    </rPh>
    <rPh sb="2" eb="3">
      <t>ザイ</t>
    </rPh>
    <rPh sb="5" eb="7">
      <t>サイダイ</t>
    </rPh>
    <rPh sb="7" eb="9">
      <t>スンポウ</t>
    </rPh>
    <phoneticPr fontId="2"/>
  </si>
  <si>
    <t>材料修正
係数ρm</t>
    <rPh sb="0" eb="2">
      <t>ザイリョウ</t>
    </rPh>
    <rPh sb="2" eb="4">
      <t>シュウセイ</t>
    </rPh>
    <rPh sb="5" eb="7">
      <t>ケイスウ</t>
    </rPh>
    <phoneticPr fontId="2"/>
  </si>
  <si>
    <t>深さ
(mm)</t>
    <rPh sb="0" eb="1">
      <t>フカ</t>
    </rPh>
    <phoneticPr fontId="2"/>
  </si>
  <si>
    <t>径</t>
    <rPh sb="0" eb="1">
      <t>ケイ</t>
    </rPh>
    <phoneticPr fontId="2"/>
  </si>
  <si>
    <t>本数
(本)</t>
    <rPh sb="0" eb="2">
      <t>ホンスウ</t>
    </rPh>
    <rPh sb="4" eb="5">
      <t>ホン</t>
    </rPh>
    <phoneticPr fontId="2"/>
  </si>
  <si>
    <t>引張鉄筋</t>
    <rPh sb="0" eb="1">
      <t>ヒ</t>
    </rPh>
    <rPh sb="1" eb="2">
      <t>パ</t>
    </rPh>
    <rPh sb="2" eb="4">
      <t>テッキン</t>
    </rPh>
    <phoneticPr fontId="2"/>
  </si>
  <si>
    <r>
      <t>基準強度
fsk(N/mm</t>
    </r>
    <r>
      <rPr>
        <vertAlign val="superscript"/>
        <sz val="10"/>
        <color indexed="8"/>
        <rFont val="ＭＳ 明朝"/>
        <family val="1"/>
        <charset val="128"/>
      </rPr>
      <t>2</t>
    </r>
    <r>
      <rPr>
        <sz val="10"/>
        <color indexed="8"/>
        <rFont val="ＭＳ 明朝"/>
        <family val="1"/>
        <charset val="128"/>
      </rPr>
      <t>)</t>
    </r>
    <rPh sb="0" eb="2">
      <t>キジュン</t>
    </rPh>
    <rPh sb="2" eb="4">
      <t>キョウド</t>
    </rPh>
    <phoneticPr fontId="2"/>
  </si>
  <si>
    <t>材料係数
γs</t>
    <rPh sb="0" eb="2">
      <t>ザイリョウ</t>
    </rPh>
    <rPh sb="2" eb="4">
      <t>ケイスウ</t>
    </rPh>
    <phoneticPr fontId="2"/>
  </si>
  <si>
    <t>引張鉄筋
間隔(mm)</t>
    <rPh sb="0" eb="2">
      <t>ヒッパリ</t>
    </rPh>
    <rPh sb="2" eb="4">
      <t>テッキン</t>
    </rPh>
    <rPh sb="5" eb="7">
      <t>カンカク</t>
    </rPh>
    <phoneticPr fontId="2"/>
  </si>
  <si>
    <t>帯鉄筋
鉄筋比(%)</t>
    <rPh sb="0" eb="1">
      <t>オ</t>
    </rPh>
    <rPh sb="1" eb="3">
      <t>テッキン</t>
    </rPh>
    <rPh sb="4" eb="6">
      <t>テッキン</t>
    </rPh>
    <rPh sb="6" eb="7">
      <t>ヒ</t>
    </rPh>
    <phoneticPr fontId="2"/>
  </si>
  <si>
    <t>帯鉄筋強度
係数 kw</t>
    <rPh sb="0" eb="1">
      <t>オビ</t>
    </rPh>
    <rPh sb="1" eb="3">
      <t>テッキン</t>
    </rPh>
    <rPh sb="3" eb="5">
      <t>キョウド</t>
    </rPh>
    <rPh sb="6" eb="8">
      <t>ケイスウ</t>
    </rPh>
    <phoneticPr fontId="2"/>
  </si>
  <si>
    <t>本製品の使用または使用不能、およびそれと関連する保守・サポートによって生じ</t>
  </si>
  <si>
    <t>た特別、偶発的、間接的、または二次的な損害(商益の損失、事業の中断、事業情報</t>
  </si>
  <si>
    <t>やデータの喪失、その他の金銭的損失を含むがこれに限定されず)について、弊社は</t>
  </si>
  <si>
    <t>購入者に対していかなる賠償する責を負わず、懲罰的損害賠償も行わないものとい</t>
  </si>
  <si>
    <t>たします。</t>
  </si>
  <si>
    <t>"WebDan" --- 断面照査プログラム</t>
    <rPh sb="13" eb="15">
      <t>ダンメン</t>
    </rPh>
    <rPh sb="15" eb="17">
      <t>ショウサ</t>
    </rPh>
    <phoneticPr fontId="2"/>
  </si>
  <si>
    <t>一般的な 鉄筋コンクリートの断面性能照査のうち【ＲＣ標準 7.2.2.2 解説（１）】に示す 釣り合い計算</t>
    <rPh sb="0" eb="3">
      <t>イッパンテキ</t>
    </rPh>
    <rPh sb="5" eb="7">
      <t>テッキン</t>
    </rPh>
    <rPh sb="14" eb="16">
      <t>ダンメン</t>
    </rPh>
    <rPh sb="16" eb="18">
      <t>セイノウ</t>
    </rPh>
    <rPh sb="18" eb="20">
      <t>ショウサ</t>
    </rPh>
    <rPh sb="26" eb="28">
      <t>ヒョウジュン</t>
    </rPh>
    <rPh sb="37" eb="39">
      <t>カイセツ</t>
    </rPh>
    <rPh sb="44" eb="45">
      <t>シメ</t>
    </rPh>
    <rPh sb="47" eb="48">
      <t>ツ</t>
    </rPh>
    <rPh sb="49" eb="50">
      <t>ア</t>
    </rPh>
    <rPh sb="51" eb="53">
      <t>ケイサン</t>
    </rPh>
    <phoneticPr fontId="2"/>
  </si>
  <si>
    <t>応力度σse の算定を行います。</t>
    <rPh sb="8" eb="10">
      <t>サンテイ</t>
    </rPh>
    <rPh sb="11" eb="12">
      <t>オコナ</t>
    </rPh>
    <phoneticPr fontId="2"/>
  </si>
  <si>
    <t>別シート（各断面照査の例）の使い方</t>
    <rPh sb="0" eb="1">
      <t>ベツ</t>
    </rPh>
    <rPh sb="14" eb="15">
      <t>ツカ</t>
    </rPh>
    <rPh sb="16" eb="17">
      <t>カタ</t>
    </rPh>
    <phoneticPr fontId="2"/>
  </si>
  <si>
    <t>1) 曲げモーメント及び軸方向力に対する照査</t>
  </si>
  <si>
    <t>2) せん断力に対する照査</t>
  </si>
  <si>
    <t>1) 曲げひび割れの照査</t>
  </si>
  <si>
    <t>2) せんひび割れの照査</t>
  </si>
  <si>
    <t>別シート（各断面照査の例）には、下記の一般的な照査例を示しています。</t>
    <rPh sb="16" eb="18">
      <t>カキ</t>
    </rPh>
    <rPh sb="19" eb="22">
      <t>イッパンテキ</t>
    </rPh>
    <rPh sb="23" eb="25">
      <t>ショウサ</t>
    </rPh>
    <rPh sb="25" eb="26">
      <t>レイ</t>
    </rPh>
    <rPh sb="27" eb="28">
      <t>シメ</t>
    </rPh>
    <phoneticPr fontId="2"/>
  </si>
  <si>
    <r>
      <t>背景が黄色のセル</t>
    </r>
    <r>
      <rPr>
        <sz val="10"/>
        <rFont val="ＭＳ 明朝"/>
        <family val="1"/>
        <charset val="128"/>
      </rPr>
      <t>　がそれに必要な入力項目です。</t>
    </r>
    <rPh sb="0" eb="2">
      <t>ハイケイ</t>
    </rPh>
    <rPh sb="3" eb="5">
      <t>キイロ</t>
    </rPh>
    <rPh sb="13" eb="15">
      <t>ヒツヨウ</t>
    </rPh>
    <rPh sb="16" eb="18">
      <t>ニュウリョク</t>
    </rPh>
    <rPh sb="18" eb="20">
      <t>コウモク</t>
    </rPh>
    <phoneticPr fontId="2"/>
  </si>
  <si>
    <t>背景が無色のセルは 自由に改変していただいてもかまいません</t>
    <rPh sb="0" eb="2">
      <t>ハイケイ</t>
    </rPh>
    <rPh sb="3" eb="5">
      <t>ムショク</t>
    </rPh>
    <rPh sb="10" eb="12">
      <t>ジユウ</t>
    </rPh>
    <rPh sb="13" eb="15">
      <t>カイヘン</t>
    </rPh>
    <phoneticPr fontId="2"/>
  </si>
  <si>
    <t>1．破壊安全性の検討（終局）</t>
    <phoneticPr fontId="2"/>
  </si>
  <si>
    <t>2．疲労破壊安全性の検討</t>
    <phoneticPr fontId="2"/>
  </si>
  <si>
    <t>3．復旧性の検討</t>
    <phoneticPr fontId="2"/>
  </si>
  <si>
    <t>4．耐久性の検討</t>
    <phoneticPr fontId="2"/>
  </si>
  <si>
    <r>
      <t>背景が水色のセル</t>
    </r>
    <r>
      <rPr>
        <sz val="10"/>
        <rFont val="ＭＳ 明朝"/>
        <family val="1"/>
        <charset val="128"/>
      </rPr>
      <t>　に計算結果が更新されます。</t>
    </r>
    <rPh sb="3" eb="4">
      <t>ミズ</t>
    </rPh>
    <rPh sb="10" eb="12">
      <t>ケイサン</t>
    </rPh>
    <rPh sb="12" eb="14">
      <t>ケッカ</t>
    </rPh>
    <rPh sb="15" eb="17">
      <t>コウシン</t>
    </rPh>
    <phoneticPr fontId="2"/>
  </si>
  <si>
    <t>現在 B列のみに帳票を作成していますが、</t>
    <rPh sb="0" eb="2">
      <t>ゲンザイ</t>
    </rPh>
    <rPh sb="4" eb="5">
      <t>レツ</t>
    </rPh>
    <rPh sb="8" eb="10">
      <t>チョウヒョウ</t>
    </rPh>
    <rPh sb="11" eb="13">
      <t>サクセイ</t>
    </rPh>
    <phoneticPr fontId="2"/>
  </si>
  <si>
    <t>隣の列にコピーすれば 6行目(ｈ,R)に値がある列は計算を行います。</t>
    <rPh sb="0" eb="1">
      <t>トナリ</t>
    </rPh>
    <rPh sb="2" eb="3">
      <t>レツ</t>
    </rPh>
    <rPh sb="12" eb="14">
      <t>ギョウメ</t>
    </rPh>
    <rPh sb="20" eb="21">
      <t>アタイ</t>
    </rPh>
    <rPh sb="24" eb="25">
      <t>レツ</t>
    </rPh>
    <rPh sb="26" eb="28">
      <t>ケイサン</t>
    </rPh>
    <rPh sb="29" eb="30">
      <t>オコナ</t>
    </rPh>
    <phoneticPr fontId="2"/>
  </si>
  <si>
    <r>
      <t>赤字</t>
    </r>
    <r>
      <rPr>
        <sz val="10"/>
        <color indexed="8"/>
        <rFont val="ＭＳ 明朝"/>
        <family val="1"/>
        <charset val="128"/>
      </rPr>
      <t>のセルを入力項目としています</t>
    </r>
    <rPh sb="0" eb="2">
      <t>アカジ</t>
    </rPh>
    <rPh sb="6" eb="8">
      <t>ニュウリョク</t>
    </rPh>
    <rPh sb="8" eb="10">
      <t>コウモク</t>
    </rPh>
    <phoneticPr fontId="2"/>
  </si>
  <si>
    <r>
      <t>背景が水色のセル</t>
    </r>
    <r>
      <rPr>
        <sz val="10"/>
        <rFont val="ＭＳ 明朝"/>
        <family val="1"/>
        <charset val="128"/>
      </rPr>
      <t>　が本システムで提供する値が入る行で、</t>
    </r>
    <rPh sb="3" eb="4">
      <t>ミズ</t>
    </rPh>
    <rPh sb="10" eb="11">
      <t>ホン</t>
    </rPh>
    <rPh sb="16" eb="18">
      <t>テイキョウ</t>
    </rPh>
    <rPh sb="20" eb="21">
      <t>アタイ</t>
    </rPh>
    <rPh sb="22" eb="23">
      <t>ハイ</t>
    </rPh>
    <rPh sb="24" eb="25">
      <t>ギョウ</t>
    </rPh>
    <phoneticPr fontId="2"/>
  </si>
  <si>
    <r>
      <t>背景が黄色のセル</t>
    </r>
    <r>
      <rPr>
        <sz val="10"/>
        <rFont val="ＭＳ 明朝"/>
        <family val="1"/>
        <charset val="128"/>
      </rPr>
      <t>　に必要な情報を入力したら</t>
    </r>
    <rPh sb="0" eb="2">
      <t>ハイケイ</t>
    </rPh>
    <rPh sb="3" eb="5">
      <t>キイロ</t>
    </rPh>
    <rPh sb="10" eb="12">
      <t>ヒツヨウ</t>
    </rPh>
    <rPh sb="13" eb="15">
      <t>ジョウホウ</t>
    </rPh>
    <rPh sb="16" eb="18">
      <t>ニュウリョク</t>
    </rPh>
    <phoneticPr fontId="2"/>
  </si>
  <si>
    <t>本システムは、「鉄道構造物等設計標準・同解説（コンクリート構造物）平成16年版」</t>
    <phoneticPr fontId="2"/>
  </si>
  <si>
    <t>（以下 【ＲＣ標準】と記す)に対応した 性能照査 を行うシステムです。</t>
    <phoneticPr fontId="2"/>
  </si>
  <si>
    <t>開発者向け（本システムの概要）</t>
    <rPh sb="0" eb="3">
      <t>カイハツシャ</t>
    </rPh>
    <rPh sb="3" eb="4">
      <t>ム</t>
    </rPh>
    <rPh sb="6" eb="7">
      <t>ホン</t>
    </rPh>
    <rPh sb="12" eb="14">
      <t>ガイヨウ</t>
    </rPh>
    <phoneticPr fontId="2"/>
  </si>
  <si>
    <t>Office ドキュメントのマクロを有効または無効にする</t>
    <phoneticPr fontId="2"/>
  </si>
  <si>
    <t>本ファイルを利用するには マクロを有効にしてください。</t>
    <rPh sb="0" eb="1">
      <t>ホン</t>
    </rPh>
    <rPh sb="6" eb="8">
      <t>リヨウ</t>
    </rPh>
    <rPh sb="17" eb="19">
      <t>ユウコウ</t>
    </rPh>
    <phoneticPr fontId="2"/>
  </si>
  <si>
    <t>本ファイルを利用するには ユーザー名とパスワードを入力してください</t>
    <rPh sb="0" eb="1">
      <t>ホン</t>
    </rPh>
    <rPh sb="6" eb="8">
      <t>リヨウ</t>
    </rPh>
    <rPh sb="17" eb="18">
      <t>メイ</t>
    </rPh>
    <rPh sb="25" eb="27">
      <t>ニュウリョク</t>
    </rPh>
    <phoneticPr fontId="2"/>
  </si>
  <si>
    <t>ユーザー名またはメールアドレス</t>
    <phoneticPr fontId="2"/>
  </si>
  <si>
    <t>上記の入力欄にそのファイルの参照先を記しておくと、毎回のログイン操作が</t>
    <rPh sb="0" eb="2">
      <t>ジョウキ</t>
    </rPh>
    <rPh sb="3" eb="5">
      <t>ニュウリョク</t>
    </rPh>
    <rPh sb="5" eb="6">
      <t>ラン</t>
    </rPh>
    <rPh sb="14" eb="16">
      <t>サンショウ</t>
    </rPh>
    <rPh sb="16" eb="17">
      <t>サキ</t>
    </rPh>
    <rPh sb="18" eb="19">
      <t>シル</t>
    </rPh>
    <rPh sb="25" eb="27">
      <t>マイカイ</t>
    </rPh>
    <rPh sb="32" eb="34">
      <t>ソウサ</t>
    </rPh>
    <phoneticPr fontId="2"/>
  </si>
  <si>
    <t>省略できます</t>
    <rPh sb="0" eb="2">
      <t>ショウリャク</t>
    </rPh>
    <phoneticPr fontId="2"/>
  </si>
  <si>
    <t>※ユーザー名, パスワード を １行目に記したテキストファイルを それぞれ用意し</t>
    <rPh sb="5" eb="6">
      <t>メイ</t>
    </rPh>
    <rPh sb="17" eb="19">
      <t>ギョウメ</t>
    </rPh>
    <rPh sb="20" eb="21">
      <t>シル</t>
    </rPh>
    <rPh sb="37" eb="39">
      <t>ヨウイ</t>
    </rPh>
    <phoneticPr fontId="2"/>
  </si>
  <si>
    <t>免責事項</t>
    <phoneticPr fontId="2"/>
  </si>
  <si>
    <t>は じ め に</t>
    <phoneticPr fontId="2"/>
  </si>
  <si>
    <t>鉄筋の入力は'D**-**' という形式で入力し複数段配筋の場合は下記のように 改行して入力してください。</t>
    <rPh sb="0" eb="2">
      <t>テッキン</t>
    </rPh>
    <rPh sb="3" eb="5">
      <t>ニュウリョク</t>
    </rPh>
    <rPh sb="18" eb="20">
      <t>ケイシキ</t>
    </rPh>
    <rPh sb="21" eb="23">
      <t>ニュウリョク</t>
    </rPh>
    <rPh sb="24" eb="26">
      <t>フクスウ</t>
    </rPh>
    <rPh sb="26" eb="27">
      <t>ダン</t>
    </rPh>
    <rPh sb="27" eb="28">
      <t>ハイ</t>
    </rPh>
    <rPh sb="28" eb="29">
      <t>キン</t>
    </rPh>
    <rPh sb="30" eb="32">
      <t>バアイ</t>
    </rPh>
    <rPh sb="40" eb="42">
      <t>カイギョウ</t>
    </rPh>
    <rPh sb="44" eb="46">
      <t>ニュウリョク</t>
    </rPh>
    <phoneticPr fontId="2"/>
  </si>
  <si>
    <t>データの送受信には json 形式の 文字列で通信します。</t>
    <rPh sb="4" eb="7">
      <t>ソウジュシン</t>
    </rPh>
    <rPh sb="15" eb="17">
      <t>ケイシキ</t>
    </rPh>
    <rPh sb="19" eb="22">
      <t>モジレツ</t>
    </rPh>
    <rPh sb="23" eb="25">
      <t>ツウシン</t>
    </rPh>
    <phoneticPr fontId="2"/>
  </si>
  <si>
    <t>ｖ</t>
    <phoneticPr fontId="2"/>
  </si>
  <si>
    <t>本システムは、断面データをサーバーに送出し, 釣り合い計算結果をサーバーから受け取ります</t>
    <rPh sb="7" eb="9">
      <t>ダンメン</t>
    </rPh>
    <rPh sb="18" eb="20">
      <t>ソウシュツ</t>
    </rPh>
    <rPh sb="23" eb="24">
      <t>ツ</t>
    </rPh>
    <rPh sb="25" eb="26">
      <t>ア</t>
    </rPh>
    <rPh sb="27" eb="29">
      <t>ケイサン</t>
    </rPh>
    <rPh sb="29" eb="31">
      <t>ケッカ</t>
    </rPh>
    <rPh sb="38" eb="39">
      <t>ウ</t>
    </rPh>
    <rPh sb="40" eb="41">
      <t>ト</t>
    </rPh>
    <phoneticPr fontId="2"/>
  </si>
  <si>
    <t>計算に必要な断面データは以下の通りです</t>
    <rPh sb="0" eb="2">
      <t>ケイサン</t>
    </rPh>
    <rPh sb="3" eb="5">
      <t>ヒツヨウ</t>
    </rPh>
    <rPh sb="6" eb="8">
      <t>ダンメン</t>
    </rPh>
    <rPh sb="12" eb="14">
      <t>イカ</t>
    </rPh>
    <rPh sb="15" eb="16">
      <t>トオ</t>
    </rPh>
    <phoneticPr fontId="2"/>
  </si>
  <si>
    <t>曲げﾓｰﾒﾝﾄ
Md(kNm)</t>
    <rPh sb="0" eb="1">
      <t>マ</t>
    </rPh>
    <phoneticPr fontId="2"/>
  </si>
  <si>
    <t>C</t>
    <phoneticPr fontId="2"/>
  </si>
  <si>
    <t>D32</t>
    <phoneticPr fontId="2"/>
  </si>
  <si>
    <t>S</t>
    <phoneticPr fontId="2"/>
  </si>
  <si>
    <t>○</t>
    <phoneticPr fontId="2"/>
  </si>
  <si>
    <t>┃　　Ｍail ：sasaicco@gmail.com </t>
    <phoneticPr fontId="2"/>
  </si>
  <si>
    <r>
      <rPr>
        <sz val="11"/>
        <rFont val="ＭＳ Ｐゴシック"/>
        <family val="3"/>
        <charset val="128"/>
      </rPr>
      <t>┃　　笹澤</t>
    </r>
    <r>
      <rPr>
        <sz val="11"/>
        <rFont val="Courier New"/>
        <family val="3"/>
      </rPr>
      <t xml:space="preserve"> </t>
    </r>
    <r>
      <rPr>
        <sz val="11"/>
        <rFont val="ＭＳ Ｐゴシック"/>
        <family val="3"/>
        <charset val="128"/>
      </rPr>
      <t>陽佑</t>
    </r>
    <r>
      <rPr>
        <sz val="11"/>
        <rFont val="Courier New"/>
        <family val="3"/>
      </rPr>
      <t> </t>
    </r>
    <phoneticPr fontId="2"/>
  </si>
  <si>
    <r>
      <rPr>
        <sz val="11"/>
        <rFont val="ＭＳ Ｐゴシック"/>
        <family val="3"/>
        <charset val="128"/>
      </rPr>
      <t>┃　　〒</t>
    </r>
    <r>
      <rPr>
        <sz val="11"/>
        <rFont val="Courier New"/>
        <family val="3"/>
      </rPr>
      <t>177-0041</t>
    </r>
    <r>
      <rPr>
        <sz val="11"/>
        <rFont val="ＭＳ Ｐゴシック"/>
        <family val="3"/>
        <charset val="128"/>
      </rPr>
      <t>　東京都練馬区石神井町</t>
    </r>
    <r>
      <rPr>
        <sz val="11"/>
        <rFont val="Courier New"/>
        <family val="3"/>
      </rPr>
      <t>2-30-11 </t>
    </r>
    <phoneticPr fontId="2"/>
  </si>
  <si>
    <r>
      <rPr>
        <sz val="11"/>
        <rFont val="ＭＳ Ｐゴシック"/>
        <family val="3"/>
        <charset val="128"/>
      </rPr>
      <t>┃　　　　　　　　　　エトワール石神井</t>
    </r>
    <r>
      <rPr>
        <sz val="11"/>
        <rFont val="Courier New"/>
        <family val="3"/>
      </rPr>
      <t>202</t>
    </r>
    <phoneticPr fontId="2"/>
  </si>
  <si>
    <r>
      <rPr>
        <sz val="11"/>
        <rFont val="ＭＳ Ｐゴシック"/>
        <family val="3"/>
        <charset val="128"/>
      </rPr>
      <t>┃株式会社　ささこう</t>
    </r>
    <r>
      <rPr>
        <sz val="11"/>
        <rFont val="Courier New"/>
        <family val="3"/>
      </rPr>
      <t> </t>
    </r>
    <phoneticPr fontId="2"/>
  </si>
  <si>
    <t>お問い合わせ</t>
    <rPh sb="1" eb="2">
      <t>ト</t>
    </rPh>
    <rPh sb="3" eb="4">
      <t>ア</t>
    </rPh>
    <phoneticPr fontId="2"/>
  </si>
  <si>
    <t>鉄筋は深iいほうが引張側</t>
    <rPh sb="0" eb="2">
      <t>テッキン</t>
    </rPh>
    <rPh sb="9" eb="10">
      <t>イン</t>
    </rPh>
    <rPh sb="10" eb="11">
      <t>バリ</t>
    </rPh>
    <rPh sb="11" eb="12">
      <t>ガワ</t>
    </rPh>
    <phoneticPr fontId="2"/>
  </si>
  <si>
    <t xml:space="preserve">、同様に 【ＲＣ標準 6.2.2 】 の Ｙ点等 の断面性能 および 【ＲＣ標準 式(6.4.4) 】などに用いる </t>
    <rPh sb="1" eb="3">
      <t>ドウヨウ</t>
    </rPh>
    <rPh sb="22" eb="23">
      <t>テン</t>
    </rPh>
    <rPh sb="23" eb="24">
      <t>ナド</t>
    </rPh>
    <rPh sb="26" eb="28">
      <t>ダンメン</t>
    </rPh>
    <rPh sb="28" eb="30">
      <t>セイノウ</t>
    </rPh>
    <rPh sb="41" eb="42">
      <t>シキ</t>
    </rPh>
    <rPh sb="54" eb="55">
      <t>モチ</t>
    </rPh>
    <phoneticPr fontId="2"/>
  </si>
  <si>
    <t>上記の算定結果を用いて、断面性能の照査を行ってください。各断面照査例を別シートに記しました。</t>
    <rPh sb="0" eb="2">
      <t>ジョウキ</t>
    </rPh>
    <rPh sb="3" eb="5">
      <t>サンテイ</t>
    </rPh>
    <rPh sb="5" eb="7">
      <t>ケッカ</t>
    </rPh>
    <rPh sb="8" eb="9">
      <t>モチ</t>
    </rPh>
    <rPh sb="12" eb="14">
      <t>ダンメン</t>
    </rPh>
    <rPh sb="14" eb="16">
      <t>セイノウ</t>
    </rPh>
    <rPh sb="17" eb="19">
      <t>ショウサ</t>
    </rPh>
    <rPh sb="20" eb="21">
      <t>オコナ</t>
    </rPh>
    <rPh sb="28" eb="29">
      <t>カク</t>
    </rPh>
    <rPh sb="33" eb="34">
      <t>レイ</t>
    </rPh>
    <rPh sb="35" eb="36">
      <t>ベツ</t>
    </rPh>
    <rPh sb="40" eb="41">
      <t>シル</t>
    </rPh>
    <phoneticPr fontId="2"/>
  </si>
  <si>
    <t>シート左上の[計算開始]ボタンをクリックすると</t>
    <rPh sb="3" eb="4">
      <t>ヒダリ</t>
    </rPh>
    <rPh sb="4" eb="5">
      <t>ウエ</t>
    </rPh>
    <rPh sb="7" eb="9">
      <t>ケイサン</t>
    </rPh>
    <rPh sb="9" eb="11">
      <t>カイシ</t>
    </rPh>
    <phoneticPr fontId="2"/>
  </si>
  <si>
    <t>断面形状における高さの入力は右図のように上側から高さを加算して形状を入力します。</t>
    <rPh sb="0" eb="2">
      <t>ダンメン</t>
    </rPh>
    <rPh sb="2" eb="4">
      <t>ケイジョウ</t>
    </rPh>
    <rPh sb="8" eb="9">
      <t>タカ</t>
    </rPh>
    <rPh sb="11" eb="13">
      <t>ニュウリョク</t>
    </rPh>
    <rPh sb="14" eb="15">
      <t>ミギ</t>
    </rPh>
    <rPh sb="15" eb="16">
      <t>ズ</t>
    </rPh>
    <rPh sb="20" eb="21">
      <t>ウエ</t>
    </rPh>
    <rPh sb="21" eb="22">
      <t>ガワ</t>
    </rPh>
    <rPh sb="27" eb="29">
      <t>カサン</t>
    </rPh>
    <rPh sb="31" eb="33">
      <t>ケイジョウ</t>
    </rPh>
    <rPh sb="34" eb="36">
      <t>ニュウリョク</t>
    </rPh>
    <phoneticPr fontId="2"/>
  </si>
  <si>
    <t>曲げモーメントMd の入力なし：断面耐力を計算します。</t>
    <rPh sb="0" eb="1">
      <t>マ</t>
    </rPh>
    <rPh sb="11" eb="13">
      <t>ニュウリョク</t>
    </rPh>
    <rPh sb="16" eb="18">
      <t>ダンメン</t>
    </rPh>
    <rPh sb="18" eb="20">
      <t>タイリョク</t>
    </rPh>
    <rPh sb="21" eb="23">
      <t>ケイサン</t>
    </rPh>
    <phoneticPr fontId="2"/>
  </si>
  <si>
    <t>曲げモーメントMd の入力あり：応力度計算をします。</t>
    <rPh sb="0" eb="1">
      <t>マ</t>
    </rPh>
    <rPh sb="11" eb="13">
      <t>ニュウリョク</t>
    </rPh>
    <rPh sb="16" eb="18">
      <t>オウリョク</t>
    </rPh>
    <rPh sb="18" eb="19">
      <t>ド</t>
    </rPh>
    <rPh sb="19" eb="21">
      <t>ケイサン</t>
    </rPh>
    <phoneticPr fontId="2"/>
  </si>
  <si>
    <t>D22-7.52</t>
    <phoneticPr fontId="2"/>
  </si>
  <si>
    <t>2部材(0.200)</t>
    <rPh sb="1" eb="2">
      <t>ブ</t>
    </rPh>
    <rPh sb="2" eb="3">
      <t>ザイ</t>
    </rPh>
    <phoneticPr fontId="2"/>
  </si>
  <si>
    <t>側壁前面(上側)</t>
    <rPh sb="0" eb="2">
      <t>ソクヘキ</t>
    </rPh>
    <rPh sb="2" eb="4">
      <t>ゼンメン</t>
    </rPh>
    <rPh sb="5" eb="7">
      <t>ウワガワ</t>
    </rPh>
    <phoneticPr fontId="2"/>
  </si>
  <si>
    <t>D22-7.52</t>
    <phoneticPr fontId="2"/>
  </si>
  <si>
    <t>D32-11.28</t>
    <phoneticPr fontId="2"/>
  </si>
  <si>
    <t>D22-7.52</t>
    <phoneticPr fontId="2"/>
  </si>
  <si>
    <t>パスワード</t>
    <phoneticPr fontId="2"/>
  </si>
  <si>
    <t>95
190</t>
    <phoneticPr fontId="2"/>
  </si>
  <si>
    <r>
      <rPr>
        <sz val="11"/>
        <rFont val="ＭＳ Ｐゴシック"/>
        <family val="3"/>
        <charset val="128"/>
      </rPr>
      <t>┃　　ＴＥＬ：</t>
    </r>
    <r>
      <rPr>
        <sz val="11"/>
        <rFont val="ＭＳ Ｐゴシック"/>
        <family val="3"/>
        <charset val="128"/>
      </rPr>
      <t>050-5806-0301</t>
    </r>
    <phoneticPr fontId="2"/>
  </si>
  <si>
    <t>D32-14</t>
    <phoneticPr fontId="2"/>
  </si>
  <si>
    <t>D32-22</t>
    <phoneticPr fontId="2"/>
  </si>
  <si>
    <t>柱</t>
    <rPh sb="0" eb="1">
      <t>ハシラ</t>
    </rPh>
    <phoneticPr fontId="2"/>
  </si>
  <si>
    <t>Ｖyd (kN)</t>
    <phoneticPr fontId="2"/>
  </si>
  <si>
    <t>┃　　ＵＲＬ：http://structuralengine.com</t>
    <phoneticPr fontId="2"/>
  </si>
  <si>
    <t>円形</t>
  </si>
  <si>
    <t>D32-56
D32-56</t>
    <phoneticPr fontId="2"/>
  </si>
  <si>
    <t>70
150</t>
    <phoneticPr fontId="2"/>
  </si>
  <si>
    <t>L1C1柱</t>
    <rPh sb="4" eb="5">
      <t>ハシラ</t>
    </rPh>
    <phoneticPr fontId="2"/>
  </si>
  <si>
    <t>断面</t>
    <rPh sb="0" eb="2">
      <t>ダンメン</t>
    </rPh>
    <phoneticPr fontId="78"/>
  </si>
  <si>
    <t>鉄筋</t>
    <rPh sb="0" eb="2">
      <t>テッキン</t>
    </rPh>
    <phoneticPr fontId="78"/>
  </si>
  <si>
    <t>材料強度</t>
    <rPh sb="0" eb="2">
      <t>ザイリョウ</t>
    </rPh>
    <rPh sb="2" eb="4">
      <t>キョウド</t>
    </rPh>
    <phoneticPr fontId="78"/>
  </si>
  <si>
    <t>断面力</t>
    <rPh sb="0" eb="2">
      <t>ダンメン</t>
    </rPh>
    <rPh sb="2" eb="3">
      <t>リョク</t>
    </rPh>
    <phoneticPr fontId="2"/>
  </si>
  <si>
    <t>応力度</t>
    <rPh sb="0" eb="2">
      <t>オウリョク</t>
    </rPh>
    <rPh sb="2" eb="3">
      <t>ド</t>
    </rPh>
    <phoneticPr fontId="2"/>
  </si>
  <si>
    <t>許容応力度</t>
    <rPh sb="0" eb="2">
      <t>キョヨウ</t>
    </rPh>
    <rPh sb="2" eb="4">
      <t>オウリョク</t>
    </rPh>
    <rPh sb="4" eb="5">
      <t>ド</t>
    </rPh>
    <phoneticPr fontId="2"/>
  </si>
  <si>
    <t>σsa</t>
    <phoneticPr fontId="78"/>
  </si>
  <si>
    <t>せん断応力度の照査</t>
    <rPh sb="2" eb="3">
      <t>ダン</t>
    </rPh>
    <rPh sb="3" eb="5">
      <t>オウリョク</t>
    </rPh>
    <rPh sb="5" eb="6">
      <t>ド</t>
    </rPh>
    <rPh sb="7" eb="9">
      <t>ショウサ</t>
    </rPh>
    <phoneticPr fontId="2"/>
  </si>
  <si>
    <t>τｍ</t>
    <phoneticPr fontId="78"/>
  </si>
  <si>
    <t>許容値</t>
    <rPh sb="2" eb="3">
      <t>アタイ</t>
    </rPh>
    <phoneticPr fontId="2"/>
  </si>
  <si>
    <t>τa</t>
    <phoneticPr fontId="78"/>
  </si>
  <si>
    <t>斜め引張鉄筋</t>
    <rPh sb="0" eb="1">
      <t>ナナ</t>
    </rPh>
    <rPh sb="2" eb="4">
      <t>ヒッパリ</t>
    </rPh>
    <rPh sb="4" eb="6">
      <t>テッキン</t>
    </rPh>
    <phoneticPr fontId="2"/>
  </si>
  <si>
    <t>Ａ w (mm2)</t>
    <phoneticPr fontId="2"/>
  </si>
  <si>
    <t>a (mm)</t>
    <phoneticPr fontId="2"/>
  </si>
  <si>
    <t>Ｓ c (kN)</t>
    <phoneticPr fontId="2"/>
  </si>
  <si>
    <t>Ｓ s (kN)</t>
    <phoneticPr fontId="2"/>
  </si>
  <si>
    <t>σsa (N/mm2)</t>
    <phoneticPr fontId="2"/>
  </si>
  <si>
    <t>Ec (kN/mm2)</t>
    <phoneticPr fontId="2"/>
  </si>
  <si>
    <t>Es (kN/mm2)</t>
    <phoneticPr fontId="2"/>
  </si>
  <si>
    <t>σca (N/mm2)</t>
    <phoneticPr fontId="2"/>
  </si>
  <si>
    <t>許容応力度の計算</t>
    <rPh sb="0" eb="2">
      <t>キョヨウ</t>
    </rPh>
    <rPh sb="2" eb="4">
      <t>オウリョク</t>
    </rPh>
    <rPh sb="4" eb="5">
      <t>ド</t>
    </rPh>
    <rPh sb="6" eb="8">
      <t>ケイサン</t>
    </rPh>
    <phoneticPr fontId="2"/>
  </si>
  <si>
    <t>ｂf (mm)</t>
    <phoneticPr fontId="2"/>
  </si>
  <si>
    <t>ｈ, R (mm)</t>
    <phoneticPr fontId="2"/>
  </si>
  <si>
    <t>ｂ (mm)</t>
    <phoneticPr fontId="2"/>
  </si>
  <si>
    <t>ｂe, r (mm)</t>
    <phoneticPr fontId="2"/>
  </si>
  <si>
    <t>ｈf(mm)</t>
    <phoneticPr fontId="2"/>
  </si>
  <si>
    <t>ｄ (mm)</t>
    <phoneticPr fontId="2"/>
  </si>
  <si>
    <t>test1105</t>
    <phoneticPr fontId="2"/>
  </si>
  <si>
    <t>test1105</t>
    <phoneticPr fontId="2"/>
  </si>
  <si>
    <t>D32-30</t>
    <phoneticPr fontId="2"/>
  </si>
  <si>
    <t>Ｓd (kN)</t>
    <phoneticPr fontId="2"/>
  </si>
  <si>
    <t>Ｎ d (kN)</t>
    <phoneticPr fontId="2"/>
  </si>
  <si>
    <t>D13-2</t>
    <phoneticPr fontId="2"/>
  </si>
  <si>
    <t>柱１</t>
    <rPh sb="0" eb="1">
      <t>ハシラ</t>
    </rPh>
    <phoneticPr fontId="2"/>
  </si>
  <si>
    <t>下端</t>
    <rPh sb="0" eb="2">
      <t>カタン</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</si>
</sst>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76" formatCode="0.0_ "/>
    <numFmt numFmtId="177" formatCode="0.00_ "/>
    <numFmt numFmtId="178" formatCode="0.0"/>
    <numFmt numFmtId="179" formatCode="0.000"/>
    <numFmt numFmtId="180" formatCode="0.0000"/>
    <numFmt numFmtId="181" formatCode="0.00000"/>
    <numFmt numFmtId="182" formatCode="0.00000;0.00000"/>
    <numFmt numFmtId="183" formatCode="&quot;φ&quot;\ \1\3"/>
    <numFmt numFmtId="184" formatCode="&quot;φ&quot;\ ##"/>
    <numFmt numFmtId="185" formatCode="0.00_ ;[Red]\-0.00\ "/>
    <numFmt numFmtId="186" formatCode="#\ ?/2"/>
    <numFmt numFmtId="187" formatCode="0.000_ "/>
  </numFmts>
  <fonts count="80">
    <font>
      <sz val="11"/>
      <name val="ＭＳ Ｐゴシック"/>
      <family val="3"/>
      <charset val="128"/>
    </font>
    <font>
      <sz val="11"/>
      <color indexed="8"/>
      <name val="ＭＳ Ｐゴシック"/>
      <family val="3"/>
      <charset val="128"/>
    </font>
    <font>
      <sz val="6"/>
      <name val="ＭＳ Ｐゴシック"/>
      <family val="3"/>
      <charset val="128"/>
    </font>
    <font>
      <sz val="9"/>
      <name val="ＭＳ 明朝"/>
      <family val="1"/>
      <charset val="128"/>
    </font>
    <font>
      <sz val="11"/>
      <name val="ＭＳ Ｐゴシック"/>
      <family val="3"/>
      <charset val="128"/>
    </font>
    <font>
      <sz val="8.5"/>
      <name val="ＭＳ 明朝"/>
      <family val="1"/>
      <charset val="128"/>
    </font>
    <font>
      <sz val="9"/>
      <color indexed="10"/>
      <name val="ＭＳ 明朝"/>
      <family val="1"/>
      <charset val="128"/>
    </font>
    <font>
      <u/>
      <sz val="11"/>
      <color indexed="12"/>
      <name val="ＭＳ Ｐゴシック"/>
      <family val="3"/>
      <charset val="128"/>
    </font>
    <font>
      <sz val="9"/>
      <color indexed="12"/>
      <name val="ＭＳ 明朝"/>
      <family val="1"/>
      <charset val="128"/>
    </font>
    <font>
      <vertAlign val="subscript"/>
      <sz val="9"/>
      <name val="ＭＳ 明朝"/>
      <family val="1"/>
      <charset val="128"/>
    </font>
    <font>
      <sz val="8.5"/>
      <color indexed="10"/>
      <name val="ＭＳ 明朝"/>
      <family val="1"/>
      <charset val="128"/>
    </font>
    <font>
      <sz val="8.5"/>
      <color indexed="12"/>
      <name val="ＭＳ 明朝"/>
      <family val="1"/>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0"/>
      <name val="ＭＳ 明朝"/>
      <family val="1"/>
      <charset val="128"/>
    </font>
    <font>
      <sz val="12"/>
      <name val="リュウミンライト−ＫＬ−等幅"/>
      <family val="3"/>
      <charset val="128"/>
    </font>
    <font>
      <sz val="9"/>
      <name val="明朝"/>
      <family val="1"/>
      <charset val="128"/>
    </font>
    <font>
      <sz val="11"/>
      <color indexed="8"/>
      <name val="Calibri"/>
      <family val="2"/>
    </font>
    <font>
      <sz val="11"/>
      <color indexed="9"/>
      <name val="Calibri"/>
      <family val="2"/>
    </font>
    <font>
      <sz val="11"/>
      <color indexed="20"/>
      <name val="Calibri"/>
      <family val="2"/>
    </font>
    <font>
      <sz val="14"/>
      <name val="Terminal"/>
      <family val="3"/>
      <charset val="255"/>
    </font>
    <font>
      <b/>
      <sz val="11"/>
      <color indexed="52"/>
      <name val="Calibri"/>
      <family val="2"/>
    </font>
    <font>
      <b/>
      <sz val="11"/>
      <color indexed="9"/>
      <name val="Calibri"/>
      <family val="2"/>
    </font>
    <font>
      <sz val="9"/>
      <name val="Times New Roman"/>
      <family val="1"/>
    </font>
    <font>
      <i/>
      <sz val="11"/>
      <color indexed="23"/>
      <name val="Calibri"/>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0"/>
      <name val="FG丸ｺﾞｼｯｸ体Ca-M"/>
      <family val="3"/>
      <charset val="128"/>
    </font>
    <font>
      <sz val="11"/>
      <name val="ＭＳ Ｐ明朝"/>
      <family val="1"/>
      <charset val="128"/>
    </font>
    <font>
      <sz val="11"/>
      <color indexed="52"/>
      <name val="Calibri"/>
      <family val="2"/>
    </font>
    <font>
      <sz val="11"/>
      <name val="ＭＳ 明朝"/>
      <family val="1"/>
      <charset val="128"/>
    </font>
    <font>
      <sz val="11"/>
      <color indexed="60"/>
      <name val="Calibri"/>
      <family val="2"/>
    </font>
    <font>
      <sz val="7"/>
      <name val="Small Fonts"/>
      <family val="3"/>
      <charset val="128"/>
    </font>
    <font>
      <sz val="10"/>
      <name val="Arial"/>
      <family val="2"/>
    </font>
    <font>
      <b/>
      <sz val="11"/>
      <color indexed="63"/>
      <name val="Calibri"/>
      <family val="2"/>
    </font>
    <font>
      <sz val="8"/>
      <color indexed="16"/>
      <name val="Century Schoolbook"/>
      <family val="1"/>
    </font>
    <font>
      <b/>
      <i/>
      <sz val="10"/>
      <name val="Times New Roman"/>
      <family val="1"/>
    </font>
    <font>
      <b/>
      <sz val="11"/>
      <name val="Helv"/>
      <family val="2"/>
    </font>
    <font>
      <b/>
      <sz val="18"/>
      <color indexed="56"/>
      <name val="Cambria"/>
      <family val="1"/>
    </font>
    <font>
      <b/>
      <sz val="11"/>
      <color indexed="8"/>
      <name val="Calibri"/>
      <family val="2"/>
    </font>
    <font>
      <sz val="10"/>
      <name val="ＭＳ ゴシック"/>
      <family val="3"/>
      <charset val="128"/>
    </font>
    <font>
      <sz val="11"/>
      <color indexed="10"/>
      <name val="Calibri"/>
      <family val="2"/>
    </font>
    <font>
      <vertAlign val="subscript"/>
      <sz val="10"/>
      <color indexed="8"/>
      <name val="ＭＳ Ｐゴシック"/>
      <family val="3"/>
      <charset val="128"/>
    </font>
    <font>
      <sz val="10"/>
      <name val="明朝"/>
      <family val="1"/>
      <charset val="128"/>
    </font>
    <font>
      <vertAlign val="superscript"/>
      <sz val="9"/>
      <name val="ＭＳ 明朝"/>
      <family val="1"/>
      <charset val="128"/>
    </font>
    <font>
      <sz val="10.5"/>
      <name val="ＭＳ 明朝"/>
      <family val="1"/>
      <charset val="128"/>
    </font>
    <font>
      <sz val="14"/>
      <name val="ＭＳ Ｐゴシック"/>
      <family val="3"/>
      <charset val="128"/>
    </font>
    <font>
      <sz val="14"/>
      <name val="ＭＳ 明朝"/>
      <family val="1"/>
      <charset val="128"/>
    </font>
    <font>
      <sz val="10"/>
      <color indexed="8"/>
      <name val="ＭＳ 明朝"/>
      <family val="1"/>
      <charset val="128"/>
    </font>
    <font>
      <vertAlign val="superscript"/>
      <sz val="10"/>
      <color indexed="8"/>
      <name val="ＭＳ 明朝"/>
      <family val="1"/>
      <charset val="128"/>
    </font>
    <font>
      <b/>
      <u/>
      <sz val="10"/>
      <name val="ＭＳ Ｐゴシック"/>
      <family val="3"/>
      <charset val="128"/>
    </font>
    <font>
      <b/>
      <sz val="10"/>
      <color indexed="8"/>
      <name val="ＭＳ 明朝"/>
      <family val="1"/>
      <charset val="128"/>
    </font>
    <font>
      <b/>
      <u/>
      <sz val="14"/>
      <name val="ＭＳ Ｐゴシック"/>
      <family val="3"/>
      <charset val="128"/>
    </font>
    <font>
      <sz val="10"/>
      <color indexed="10"/>
      <name val="ＭＳ 明朝"/>
      <family val="1"/>
      <charset val="128"/>
    </font>
    <font>
      <sz val="10"/>
      <color indexed="12"/>
      <name val="ＭＳ 明朝"/>
      <family val="1"/>
      <charset val="128"/>
    </font>
    <font>
      <sz val="10"/>
      <color indexed="8"/>
      <name val="ＭＳ ゴシック"/>
      <family val="3"/>
      <charset val="128"/>
    </font>
    <font>
      <sz val="10"/>
      <color indexed="55"/>
      <name val="ＭＳ ゴシック"/>
      <family val="3"/>
      <charset val="128"/>
    </font>
    <font>
      <sz val="11"/>
      <name val="Courier New"/>
      <family val="3"/>
    </font>
    <font>
      <sz val="11"/>
      <color rgb="FF000000"/>
      <name val="ＭＳ Ｐゴシック"/>
      <family val="3"/>
      <charset val="128"/>
    </font>
    <font>
      <sz val="8"/>
      <color rgb="FF000000"/>
      <name val="ＭＳ Ｐゴシック"/>
      <family val="3"/>
      <charset val="128"/>
    </font>
    <font>
      <sz val="6"/>
      <name val="ＭＳ 明朝"/>
      <family val="1"/>
      <charset val="128"/>
    </font>
    <font>
      <sz val="9"/>
      <color rgb="FFFF0000"/>
      <name val="ＭＳ 明朝"/>
      <family val="1"/>
      <charset val="128"/>
    </font>
  </fonts>
  <fills count="30">
    <fill>
      <patternFill patternType="none"/>
    </fill>
    <fill>
      <patternFill patternType="gray125"/>
    </fill>
    <fill>
      <patternFill patternType="solid">
        <fgColor indexed="27"/>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41"/>
        <bgColor indexed="64"/>
      </patternFill>
    </fill>
    <fill>
      <patternFill patternType="solid">
        <fgColor indexed="15"/>
        <bgColor indexed="64"/>
      </patternFill>
    </fill>
    <fill>
      <patternFill patternType="solid">
        <fgColor indexed="9"/>
        <bgColor indexed="64"/>
      </patternFill>
    </fill>
    <fill>
      <patternFill patternType="solid">
        <fgColor rgb="FFFFFF00"/>
        <bgColor indexed="64"/>
      </patternFill>
    </fill>
  </fills>
  <borders count="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right style="hair">
        <color indexed="64"/>
      </right>
      <top/>
      <bottom/>
      <diagonal/>
    </border>
    <border>
      <left/>
      <right style="hair">
        <color indexed="64"/>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diagonal/>
    </border>
    <border>
      <left style="hair">
        <color indexed="64"/>
      </left>
      <right/>
      <top/>
      <bottom/>
      <diagonal/>
    </border>
    <border>
      <left style="hair">
        <color indexed="64"/>
      </left>
      <right/>
      <top/>
      <bottom style="hair">
        <color indexed="64"/>
      </bottom>
      <diagonal/>
    </border>
    <border>
      <left style="hair">
        <color indexed="64"/>
      </left>
      <right/>
      <top style="thin">
        <color indexed="64"/>
      </top>
      <bottom style="hair">
        <color indexed="64"/>
      </bottom>
      <diagonal/>
    </border>
    <border>
      <left style="hair">
        <color indexed="64"/>
      </left>
      <right/>
      <top/>
      <bottom style="thin">
        <color indexed="64"/>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style="hair">
        <color indexed="64"/>
      </right>
      <top/>
      <bottom style="hair">
        <color indexed="64"/>
      </bottom>
      <diagonal/>
    </border>
    <border>
      <left/>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right style="hair">
        <color indexed="64"/>
      </right>
      <top style="thin">
        <color indexed="64"/>
      </top>
      <bottom/>
      <diagonal/>
    </border>
    <border>
      <left/>
      <right style="hair">
        <color indexed="64"/>
      </right>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thin">
        <color indexed="64"/>
      </top>
      <bottom style="hair">
        <color indexed="64"/>
      </bottom>
      <diagonal/>
    </border>
    <border>
      <left style="hair">
        <color indexed="64"/>
      </left>
      <right style="hair">
        <color indexed="64"/>
      </right>
      <top style="hair">
        <color indexed="64"/>
      </top>
      <bottom style="thin">
        <color indexed="64"/>
      </bottom>
      <diagonal/>
    </border>
  </borders>
  <cellStyleXfs count="391">
    <xf numFmtId="0" fontId="0" fillId="0" borderId="0"/>
    <xf numFmtId="0" fontId="28" fillId="2" borderId="0" applyFill="0" applyBorder="0" applyProtection="0">
      <protection locked="0"/>
    </xf>
    <xf numFmtId="1" fontId="28" fillId="0" borderId="0" applyFont="0" applyFill="0" applyBorder="0" applyProtection="0"/>
    <xf numFmtId="178" fontId="28" fillId="0" borderId="0" applyFill="0" applyBorder="0" applyProtection="0"/>
    <xf numFmtId="2" fontId="28" fillId="0" borderId="0" applyFont="0" applyFill="0" applyBorder="0" applyProtection="0"/>
    <xf numFmtId="179" fontId="28" fillId="2" borderId="0" applyFill="0" applyBorder="0" applyProtection="0"/>
    <xf numFmtId="180" fontId="28" fillId="2" borderId="0" applyFill="0" applyBorder="0" applyProtection="0"/>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1" fontId="28" fillId="2" borderId="0" applyFill="0" applyBorder="0" applyProtection="0">
      <alignment horizontal="center"/>
    </xf>
    <xf numFmtId="2" fontId="29" fillId="0" borderId="0" applyNumberFormat="0" applyFont="0" applyFill="0" applyBorder="0" applyProtection="0">
      <alignment vertical="top"/>
    </xf>
    <xf numFmtId="186" fontId="28" fillId="0" borderId="0" applyFont="0" applyFill="0" applyBorder="0" applyProtection="0">
      <alignment horizontal="center"/>
    </xf>
    <xf numFmtId="12" fontId="28" fillId="0" borderId="0" applyFont="0" applyFill="0" applyBorder="0" applyProtection="0">
      <alignment horizontal="center"/>
    </xf>
    <xf numFmtId="0" fontId="4" fillId="0" borderId="0" applyNumberFormat="0" applyFill="0" applyBorder="0" applyProtection="0">
      <alignment vertical="top"/>
    </xf>
    <xf numFmtId="0" fontId="4" fillId="0" borderId="0" applyNumberFormat="0" applyFill="0" applyBorder="0" applyProtection="0">
      <alignment vertical="top"/>
    </xf>
    <xf numFmtId="9" fontId="30" fillId="0" borderId="0"/>
    <xf numFmtId="0" fontId="31" fillId="3" borderId="0" applyNumberFormat="0" applyBorder="0" applyAlignment="0" applyProtection="0"/>
    <xf numFmtId="0" fontId="31" fillId="4" borderId="0" applyNumberFormat="0" applyBorder="0" applyAlignment="0" applyProtection="0"/>
    <xf numFmtId="0" fontId="31" fillId="5" borderId="0" applyNumberFormat="0" applyBorder="0" applyAlignment="0" applyProtection="0"/>
    <xf numFmtId="0" fontId="31" fillId="6" borderId="0" applyNumberFormat="0" applyBorder="0" applyAlignment="0" applyProtection="0"/>
    <xf numFmtId="0" fontId="31" fillId="7" borderId="0" applyNumberFormat="0" applyBorder="0" applyAlignment="0" applyProtection="0"/>
    <xf numFmtId="0" fontId="31" fillId="8" borderId="0" applyNumberFormat="0" applyBorder="0" applyAlignment="0" applyProtection="0"/>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1" fillId="8" borderId="0" applyNumberFormat="0" applyBorder="0" applyAlignment="0" applyProtection="0">
      <alignment vertical="center"/>
    </xf>
    <xf numFmtId="0" fontId="31" fillId="9" borderId="0" applyNumberFormat="0" applyBorder="0" applyAlignment="0" applyProtection="0"/>
    <xf numFmtId="0" fontId="31" fillId="10" borderId="0" applyNumberFormat="0" applyBorder="0" applyAlignment="0" applyProtection="0"/>
    <xf numFmtId="0" fontId="31" fillId="11" borderId="0" applyNumberFormat="0" applyBorder="0" applyAlignment="0" applyProtection="0"/>
    <xf numFmtId="0" fontId="31" fillId="6" borderId="0" applyNumberFormat="0" applyBorder="0" applyAlignment="0" applyProtection="0"/>
    <xf numFmtId="0" fontId="31" fillId="9" borderId="0" applyNumberFormat="0" applyBorder="0" applyAlignment="0" applyProtection="0"/>
    <xf numFmtId="0" fontId="31" fillId="12" borderId="0" applyNumberFormat="0" applyBorder="0" applyAlignment="0" applyProtection="0"/>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6"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9"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32" fillId="13" borderId="0" applyNumberFormat="0" applyBorder="0" applyAlignment="0" applyProtection="0"/>
    <xf numFmtId="0" fontId="32" fillId="10" borderId="0" applyNumberFormat="0" applyBorder="0" applyAlignment="0" applyProtection="0"/>
    <xf numFmtId="0" fontId="32" fillId="11"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16" borderId="0" applyNumberFormat="0" applyBorder="0" applyAlignment="0" applyProtection="0"/>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12" fillId="16" borderId="0" applyNumberFormat="0" applyBorder="0" applyAlignment="0" applyProtection="0">
      <alignment vertical="center"/>
    </xf>
    <xf numFmtId="0" fontId="32" fillId="17" borderId="0" applyNumberFormat="0" applyBorder="0" applyAlignment="0" applyProtection="0"/>
    <xf numFmtId="0" fontId="32" fillId="18" borderId="0" applyNumberFormat="0" applyBorder="0" applyAlignment="0" applyProtection="0"/>
    <xf numFmtId="0" fontId="32" fillId="19" borderId="0" applyNumberFormat="0" applyBorder="0" applyAlignment="0" applyProtection="0"/>
    <xf numFmtId="0" fontId="32" fillId="14" borderId="0" applyNumberFormat="0" applyBorder="0" applyAlignment="0" applyProtection="0"/>
    <xf numFmtId="0" fontId="32" fillId="15" borderId="0" applyNumberFormat="0" applyBorder="0" applyAlignment="0" applyProtection="0"/>
    <xf numFmtId="0" fontId="32" fillId="20" borderId="0" applyNumberFormat="0" applyBorder="0" applyAlignment="0" applyProtection="0"/>
    <xf numFmtId="0" fontId="33" fillId="4" borderId="0" applyNumberFormat="0" applyBorder="0" applyAlignment="0" applyProtection="0"/>
    <xf numFmtId="0" fontId="34" fillId="0" borderId="0" applyFill="0" applyBorder="0" applyAlignment="0"/>
    <xf numFmtId="0" fontId="35" fillId="21" borderId="1" applyNumberFormat="0" applyAlignment="0" applyProtection="0"/>
    <xf numFmtId="0" fontId="36" fillId="22" borderId="2" applyNumberFormat="0" applyAlignment="0" applyProtection="0"/>
    <xf numFmtId="0" fontId="37" fillId="0" borderId="0">
      <alignment horizontal="left"/>
    </xf>
    <xf numFmtId="0" fontId="38" fillId="0" borderId="0" applyNumberFormat="0" applyFill="0" applyBorder="0" applyAlignment="0" applyProtection="0"/>
    <xf numFmtId="0" fontId="39" fillId="5" borderId="0" applyNumberFormat="0" applyBorder="0" applyAlignment="0" applyProtection="0"/>
    <xf numFmtId="0" fontId="40" fillId="0" borderId="3" applyNumberFormat="0" applyAlignment="0" applyProtection="0">
      <alignment horizontal="left" vertical="center"/>
    </xf>
    <xf numFmtId="0" fontId="40" fillId="0" borderId="4">
      <alignment horizontal="left" vertical="center"/>
    </xf>
    <xf numFmtId="0" fontId="41" fillId="0" borderId="5" applyNumberFormat="0" applyFill="0" applyAlignment="0" applyProtection="0"/>
    <xf numFmtId="0" fontId="42" fillId="0" borderId="6" applyNumberFormat="0" applyFill="0" applyAlignment="0" applyProtection="0"/>
    <xf numFmtId="0" fontId="43" fillId="0" borderId="7" applyNumberFormat="0" applyFill="0" applyAlignment="0" applyProtection="0"/>
    <xf numFmtId="0" fontId="43" fillId="0" borderId="0" applyNumberFormat="0" applyFill="0" applyBorder="0" applyAlignment="0" applyProtection="0"/>
    <xf numFmtId="0" fontId="44" fillId="8" borderId="1" applyNumberFormat="0" applyAlignment="0" applyProtection="0"/>
    <xf numFmtId="0" fontId="45" fillId="0" borderId="0">
      <alignment vertical="center"/>
      <protection hidden="1"/>
    </xf>
    <xf numFmtId="0" fontId="46" fillId="0" borderId="0">
      <alignment horizontal="center" vertical="center"/>
    </xf>
    <xf numFmtId="0" fontId="47" fillId="0" borderId="8" applyNumberFormat="0" applyFill="0" applyAlignment="0" applyProtection="0"/>
    <xf numFmtId="0" fontId="48" fillId="0" borderId="0"/>
    <xf numFmtId="0" fontId="49" fillId="23" borderId="0" applyNumberFormat="0" applyBorder="0" applyAlignment="0" applyProtection="0"/>
    <xf numFmtId="37" fontId="50" fillId="0" borderId="0"/>
    <xf numFmtId="0" fontId="51" fillId="0" borderId="0"/>
    <xf numFmtId="0" fontId="51" fillId="24" borderId="9" applyNumberFormat="0" applyFont="0" applyAlignment="0" applyProtection="0"/>
    <xf numFmtId="0" fontId="52" fillId="21" borderId="10" applyNumberFormat="0" applyAlignment="0" applyProtection="0"/>
    <xf numFmtId="4" fontId="37" fillId="0" borderId="0">
      <alignment horizontal="right"/>
    </xf>
    <xf numFmtId="4" fontId="53" fillId="0" borderId="0">
      <alignment horizontal="right"/>
    </xf>
    <xf numFmtId="0" fontId="54" fillId="0" borderId="0">
      <alignment horizontal="left"/>
    </xf>
    <xf numFmtId="0" fontId="55" fillId="0" borderId="0"/>
    <xf numFmtId="0" fontId="56" fillId="0" borderId="0" applyNumberFormat="0" applyFill="0" applyBorder="0" applyAlignment="0" applyProtection="0"/>
    <xf numFmtId="0" fontId="57" fillId="0" borderId="11" applyNumberFormat="0" applyFill="0" applyAlignment="0" applyProtection="0"/>
    <xf numFmtId="0" fontId="28" fillId="0" borderId="12" applyNumberFormat="0" applyFill="0" applyBorder="0" applyAlignment="0" applyProtection="0">
      <alignment vertical="center"/>
    </xf>
    <xf numFmtId="2" fontId="58" fillId="0" borderId="0" applyFill="0" applyBorder="0" applyProtection="0">
      <alignment vertical="center"/>
    </xf>
    <xf numFmtId="0" fontId="59" fillId="0" borderId="0" applyNumberFormat="0" applyFill="0" applyBorder="0" applyAlignment="0" applyProtection="0"/>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184" fontId="58" fillId="0" borderId="0" applyFill="0" applyBorder="0" applyProtection="0">
      <alignment horizontal="center" vertical="center"/>
    </xf>
    <xf numFmtId="184" fontId="58" fillId="0" borderId="0" applyFill="0" applyBorder="0" applyProtection="0">
      <alignment horizontal="center" vertical="center"/>
    </xf>
    <xf numFmtId="0"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58" fillId="0" borderId="0" applyFill="0" applyBorder="0" applyProtection="0">
      <alignment horizontal="center" vertical="center"/>
    </xf>
    <xf numFmtId="183" fontId="58" fillId="0" borderId="0" applyFill="0" applyBorder="0" applyProtection="0">
      <alignment horizontal="center" vertical="center"/>
    </xf>
    <xf numFmtId="183" fontId="58" fillId="0" borderId="0" applyFill="0" applyBorder="0" applyProtection="0">
      <alignment horizontal="center"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7"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9"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15"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2" fillId="20" borderId="0" applyNumberFormat="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4" fillId="22" borderId="2" applyNumberFormat="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15" fillId="23" borderId="0" applyNumberFormat="0" applyBorder="0" applyAlignment="0" applyProtection="0">
      <alignment vertical="center"/>
    </xf>
    <xf numFmtId="0" fontId="7" fillId="0" borderId="0" applyNumberFormat="0" applyFill="0" applyBorder="0" applyAlignment="0" applyProtection="0">
      <alignment vertical="top"/>
      <protection locked="0"/>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 fillId="24" borderId="9" applyNumberFormat="0" applyFont="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6" fillId="0" borderId="8" applyNumberFormat="0" applyFill="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0" fontId="17" fillId="4" borderId="0" applyNumberFormat="0" applyBorder="0" applyAlignment="0" applyProtection="0">
      <alignment vertical="center"/>
    </xf>
    <xf numFmtId="2" fontId="9" fillId="0" borderId="0" applyNumberFormat="0" applyFill="0" applyBorder="0" applyAlignment="0" applyProtection="0"/>
    <xf numFmtId="185" fontId="48" fillId="0" borderId="0">
      <alignment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58" fillId="0" borderId="0">
      <alignment horizontal="center" vertical="center"/>
    </xf>
    <xf numFmtId="184" fontId="58" fillId="0" borderId="0">
      <alignment horizontal="center" vertical="center"/>
    </xf>
    <xf numFmtId="184" fontId="58" fillId="0" borderId="0">
      <alignment horizontal="center"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8" fillId="21" borderId="1" applyNumberFormat="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9" fillId="0" borderId="0" applyNumberFormat="0" applyFill="0" applyBorder="0" applyAlignment="0" applyProtection="0">
      <alignment vertical="center"/>
    </xf>
    <xf numFmtId="38" fontId="28" fillId="0" borderId="0">
      <alignment horizontal="center" vertical="center" textRotation="90"/>
    </xf>
    <xf numFmtId="38" fontId="60" fillId="0" borderId="0" applyFont="0" applyFill="0" applyBorder="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61" fillId="0" borderId="0">
      <alignment vertical="center"/>
    </xf>
    <xf numFmtId="2" fontId="28" fillId="0" borderId="0" applyNumberFormat="0" applyFont="0" applyFill="0" applyBorder="0" applyProtection="0">
      <alignment horizontal="left" indent="1"/>
    </xf>
    <xf numFmtId="11" fontId="58" fillId="0" borderId="0" applyFill="0" applyBorder="0" applyProtection="0">
      <alignment horizontal="center"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0" fontId="23" fillId="0" borderId="11" applyNumberFormat="0" applyFill="0" applyAlignment="0" applyProtection="0">
      <alignment vertical="center"/>
    </xf>
    <xf numFmtId="2" fontId="3" fillId="0" borderId="0" applyNumberFormat="0" applyFont="0" applyFill="0" applyBorder="0" applyProtection="0">
      <alignment horizontal="center" vertical="center" textRotation="255"/>
    </xf>
    <xf numFmtId="2" fontId="3" fillId="0" borderId="0" applyNumberFormat="0" applyFont="0" applyFill="0" applyBorder="0" applyProtection="0">
      <alignment vertical="center"/>
    </xf>
    <xf numFmtId="2" fontId="3" fillId="0" borderId="0" applyNumberFormat="0" applyFont="0" applyFill="0" applyBorder="0" applyProtection="0">
      <alignment shrinkToFit="1"/>
    </xf>
    <xf numFmtId="0" fontId="24" fillId="21" borderId="10" applyNumberFormat="0" applyAlignment="0" applyProtection="0">
      <alignment vertical="center"/>
    </xf>
    <xf numFmtId="0" fontId="24" fillId="21" borderId="10" applyNumberFormat="0" applyAlignment="0" applyProtection="0">
      <alignment vertical="center"/>
    </xf>
    <xf numFmtId="0" fontId="24" fillId="21" borderId="10" applyNumberFormat="0" applyAlignment="0" applyProtection="0">
      <alignment vertical="center"/>
    </xf>
    <xf numFmtId="2" fontId="62" fillId="0" borderId="0" applyNumberFormat="0" applyFill="0" applyBorder="0" applyAlignment="0" applyProtection="0"/>
    <xf numFmtId="0" fontId="46" fillId="0" borderId="0">
      <alignment horizontal="center"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38" fontId="48" fillId="0" borderId="0" applyFont="0" applyFill="0" applyBorder="0" applyAlignment="0" applyProtection="0">
      <alignment vertical="center"/>
    </xf>
    <xf numFmtId="0" fontId="58" fillId="0" borderId="0" applyFill="0" applyBorder="0" applyProtection="0">
      <alignment horizontal="center" vertical="center"/>
    </xf>
    <xf numFmtId="0" fontId="26" fillId="8" borderId="1" applyNumberFormat="0" applyAlignment="0" applyProtection="0">
      <alignment vertical="center"/>
    </xf>
    <xf numFmtId="0" fontId="26" fillId="8" borderId="1" applyNumberFormat="0" applyAlignment="0" applyProtection="0">
      <alignment vertical="center"/>
    </xf>
    <xf numFmtId="0" fontId="26" fillId="8" borderId="1" applyNumberFormat="0" applyAlignment="0" applyProtection="0">
      <alignment vertical="center"/>
    </xf>
    <xf numFmtId="2" fontId="3" fillId="0" borderId="0" applyNumberFormat="0" applyFont="0" applyFill="0" applyBorder="0" applyProtection="0">
      <alignment horizontal="centerContinuous" vertical="center"/>
    </xf>
    <xf numFmtId="2" fontId="3" fillId="0" borderId="0" applyNumberFormat="0" applyFont="0" applyFill="0" applyBorder="0" applyProtection="0">
      <alignment horizontal="centerContinuous"/>
    </xf>
    <xf numFmtId="0" fontId="63" fillId="0" borderId="0"/>
    <xf numFmtId="0" fontId="1" fillId="0" borderId="0">
      <alignment vertical="center"/>
    </xf>
    <xf numFmtId="0" fontId="63" fillId="0" borderId="0"/>
    <xf numFmtId="0" fontId="1" fillId="0" borderId="0">
      <alignment vertical="center"/>
    </xf>
    <xf numFmtId="0" fontId="4" fillId="0" borderId="0">
      <alignment vertical="center"/>
    </xf>
    <xf numFmtId="0" fontId="1" fillId="0" borderId="0">
      <alignment vertical="center"/>
    </xf>
    <xf numFmtId="0" fontId="1" fillId="0" borderId="0">
      <alignment vertical="center"/>
    </xf>
    <xf numFmtId="0" fontId="1" fillId="0" borderId="0">
      <alignment vertical="center"/>
    </xf>
    <xf numFmtId="0" fontId="46" fillId="0" borderId="0"/>
    <xf numFmtId="0" fontId="64" fillId="0" borderId="0"/>
    <xf numFmtId="0" fontId="46" fillId="0" borderId="0">
      <alignment horizontal="center" vertical="center"/>
    </xf>
    <xf numFmtId="12" fontId="58" fillId="0" borderId="0" applyFill="0" applyBorder="0" applyProtection="0">
      <alignment horizontal="center" vertical="center"/>
    </xf>
    <xf numFmtId="0" fontId="65" fillId="0" borderId="0"/>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27" fillId="5" borderId="0" applyNumberFormat="0" applyBorder="0" applyAlignment="0" applyProtection="0">
      <alignment vertical="center"/>
    </xf>
    <xf numFmtId="0" fontId="63" fillId="0" borderId="0"/>
    <xf numFmtId="0" fontId="63" fillId="0" borderId="0"/>
    <xf numFmtId="0" fontId="48" fillId="0" borderId="0"/>
    <xf numFmtId="0" fontId="4" fillId="0" borderId="0"/>
    <xf numFmtId="0" fontId="28" fillId="0" borderId="0">
      <alignment vertical="center"/>
    </xf>
  </cellStyleXfs>
  <cellXfs count="249">
    <xf numFmtId="0" fontId="0" fillId="0" borderId="0" xfId="0"/>
    <xf numFmtId="0" fontId="3" fillId="0" borderId="0" xfId="0" applyFont="1"/>
    <xf numFmtId="0" fontId="3" fillId="0" borderId="0" xfId="0" applyFont="1" applyAlignment="1">
      <alignment horizontal="left"/>
    </xf>
    <xf numFmtId="0" fontId="3" fillId="0" borderId="13" xfId="0" applyFont="1" applyBorder="1" applyAlignment="1">
      <alignment horizontal="left" indent="1"/>
    </xf>
    <xf numFmtId="0" fontId="3" fillId="0" borderId="14" xfId="0" applyFont="1" applyBorder="1" applyAlignment="1">
      <alignment horizontal="left" indent="1"/>
    </xf>
    <xf numFmtId="0" fontId="3" fillId="0" borderId="15" xfId="0" applyFont="1" applyBorder="1" applyAlignment="1">
      <alignment horizontal="left" indent="1"/>
    </xf>
    <xf numFmtId="0" fontId="3" fillId="0" borderId="0" xfId="0" applyNumberFormat="1" applyFont="1" applyAlignment="1">
      <alignment horizontal="left"/>
    </xf>
    <xf numFmtId="0" fontId="3" fillId="0" borderId="0" xfId="0" applyNumberFormat="1" applyFont="1"/>
    <xf numFmtId="0" fontId="3" fillId="0" borderId="13" xfId="0" applyNumberFormat="1" applyFont="1" applyBorder="1" applyAlignment="1">
      <alignment horizontal="left" indent="1"/>
    </xf>
    <xf numFmtId="0" fontId="3" fillId="0" borderId="14" xfId="0" applyNumberFormat="1" applyFont="1" applyBorder="1" applyAlignment="1">
      <alignment horizontal="left" indent="1"/>
    </xf>
    <xf numFmtId="0" fontId="3" fillId="0" borderId="16" xfId="0" applyNumberFormat="1" applyFont="1" applyBorder="1" applyAlignment="1">
      <alignment horizontal="left" indent="1"/>
    </xf>
    <xf numFmtId="0" fontId="3" fillId="0" borderId="17" xfId="0" applyNumberFormat="1" applyFont="1" applyBorder="1" applyAlignment="1">
      <alignment horizontal="left" indent="1"/>
    </xf>
    <xf numFmtId="0" fontId="3" fillId="0" borderId="18" xfId="0" applyNumberFormat="1" applyFont="1" applyBorder="1" applyAlignment="1">
      <alignment horizontal="left" indent="1"/>
    </xf>
    <xf numFmtId="0" fontId="3" fillId="0" borderId="15" xfId="0" applyNumberFormat="1" applyFont="1" applyBorder="1" applyAlignment="1">
      <alignment horizontal="left" indent="1"/>
    </xf>
    <xf numFmtId="0" fontId="3" fillId="0" borderId="16" xfId="0" applyNumberFormat="1" applyFont="1" applyBorder="1" applyAlignment="1">
      <alignment horizontal="left"/>
    </xf>
    <xf numFmtId="0" fontId="3" fillId="0" borderId="17" xfId="0" applyNumberFormat="1" applyFont="1" applyBorder="1" applyAlignment="1">
      <alignment horizontal="left"/>
    </xf>
    <xf numFmtId="49" fontId="3" fillId="0" borderId="17" xfId="0" applyNumberFormat="1" applyFont="1" applyBorder="1" applyAlignment="1">
      <alignment horizontal="left"/>
    </xf>
    <xf numFmtId="0" fontId="3" fillId="0" borderId="18" xfId="0" applyNumberFormat="1" applyFont="1" applyBorder="1" applyAlignment="1">
      <alignment horizontal="left"/>
    </xf>
    <xf numFmtId="0" fontId="6" fillId="25" borderId="19" xfId="0" applyNumberFormat="1" applyFont="1" applyFill="1" applyBorder="1" applyAlignment="1" applyProtection="1">
      <alignment horizontal="center"/>
      <protection locked="0"/>
    </xf>
    <xf numFmtId="178" fontId="6" fillId="25" borderId="19" xfId="0" applyNumberFormat="1" applyFont="1" applyFill="1" applyBorder="1" applyAlignment="1" applyProtection="1">
      <alignment horizontal="center"/>
      <protection locked="0"/>
    </xf>
    <xf numFmtId="2" fontId="6" fillId="25" borderId="19" xfId="0" applyNumberFormat="1" applyFont="1" applyFill="1" applyBorder="1" applyAlignment="1" applyProtection="1">
      <alignment horizontal="center"/>
      <protection locked="0"/>
    </xf>
    <xf numFmtId="0" fontId="3" fillId="0" borderId="0" xfId="0" applyNumberFormat="1" applyFont="1" applyProtection="1">
      <protection locked="0"/>
    </xf>
    <xf numFmtId="0" fontId="3" fillId="0" borderId="0" xfId="0" applyNumberFormat="1" applyFont="1" applyProtection="1"/>
    <xf numFmtId="0" fontId="3" fillId="0" borderId="13" xfId="0" applyNumberFormat="1" applyFont="1" applyBorder="1" applyAlignment="1" applyProtection="1">
      <alignment horizontal="left" indent="1"/>
    </xf>
    <xf numFmtId="0" fontId="3" fillId="0" borderId="14" xfId="0" applyNumberFormat="1" applyFont="1" applyBorder="1" applyAlignment="1" applyProtection="1">
      <alignment horizontal="left" indent="1"/>
    </xf>
    <xf numFmtId="0" fontId="3" fillId="0" borderId="15" xfId="0" applyNumberFormat="1" applyFont="1" applyBorder="1" applyAlignment="1" applyProtection="1">
      <alignment horizontal="left" indent="1"/>
    </xf>
    <xf numFmtId="0" fontId="3" fillId="0" borderId="0" xfId="0" applyNumberFormat="1" applyFont="1" applyAlignment="1" applyProtection="1">
      <alignment horizontal="left"/>
    </xf>
    <xf numFmtId="178" fontId="3" fillId="0" borderId="19" xfId="0" applyNumberFormat="1" applyFont="1" applyFill="1" applyBorder="1" applyAlignment="1" applyProtection="1">
      <alignment horizontal="center"/>
    </xf>
    <xf numFmtId="0" fontId="3" fillId="0" borderId="19" xfId="0" applyNumberFormat="1" applyFont="1" applyFill="1" applyBorder="1" applyAlignment="1" applyProtection="1">
      <alignment horizontal="center"/>
    </xf>
    <xf numFmtId="0" fontId="3" fillId="0" borderId="19" xfId="0" applyNumberFormat="1" applyFont="1" applyBorder="1" applyAlignment="1" applyProtection="1">
      <alignment horizontal="center"/>
    </xf>
    <xf numFmtId="179" fontId="3" fillId="0" borderId="19" xfId="0" applyNumberFormat="1" applyFont="1" applyBorder="1" applyAlignment="1" applyProtection="1">
      <alignment horizontal="center"/>
    </xf>
    <xf numFmtId="0" fontId="3" fillId="0" borderId="20" xfId="0" applyNumberFormat="1" applyFont="1" applyBorder="1" applyAlignment="1" applyProtection="1">
      <alignment horizontal="center"/>
    </xf>
    <xf numFmtId="179" fontId="3" fillId="0" borderId="19" xfId="0" applyNumberFormat="1" applyFont="1" applyBorder="1" applyAlignment="1">
      <alignment horizontal="center"/>
    </xf>
    <xf numFmtId="2" fontId="8" fillId="26" borderId="19" xfId="0" applyNumberFormat="1" applyFont="1" applyFill="1" applyBorder="1" applyAlignment="1" applyProtection="1">
      <alignment horizontal="center"/>
    </xf>
    <xf numFmtId="176" fontId="8" fillId="26" borderId="19" xfId="0" applyNumberFormat="1" applyFont="1" applyFill="1" applyBorder="1" applyAlignment="1">
      <alignment horizontal="center"/>
    </xf>
    <xf numFmtId="0" fontId="3" fillId="0" borderId="0" xfId="0" applyFont="1" applyProtection="1">
      <protection locked="0"/>
    </xf>
    <xf numFmtId="0" fontId="3" fillId="0" borderId="0" xfId="0" applyFont="1" applyProtection="1"/>
    <xf numFmtId="0" fontId="3" fillId="0" borderId="13" xfId="0" applyFont="1" applyBorder="1" applyAlignment="1" applyProtection="1">
      <alignment horizontal="left" indent="1"/>
    </xf>
    <xf numFmtId="0" fontId="3" fillId="0" borderId="14" xfId="0" applyFont="1" applyBorder="1" applyAlignment="1" applyProtection="1">
      <alignment horizontal="left" indent="1"/>
    </xf>
    <xf numFmtId="0" fontId="3" fillId="0" borderId="15" xfId="0" applyFont="1" applyBorder="1" applyAlignment="1" applyProtection="1">
      <alignment horizontal="left" indent="1"/>
    </xf>
    <xf numFmtId="0" fontId="3" fillId="0" borderId="0" xfId="0" applyFont="1" applyAlignment="1" applyProtection="1">
      <alignment horizontal="left"/>
    </xf>
    <xf numFmtId="176" fontId="8" fillId="26" borderId="19" xfId="0" applyNumberFormat="1" applyFont="1" applyFill="1" applyBorder="1" applyAlignment="1" applyProtection="1">
      <alignment horizontal="center"/>
    </xf>
    <xf numFmtId="0" fontId="6" fillId="25" borderId="21" xfId="0" applyNumberFormat="1" applyFont="1" applyFill="1" applyBorder="1" applyAlignment="1" applyProtection="1">
      <alignment horizontal="center"/>
      <protection locked="0"/>
    </xf>
    <xf numFmtId="0" fontId="6" fillId="25" borderId="22" xfId="0" applyNumberFormat="1" applyFont="1" applyFill="1" applyBorder="1" applyAlignment="1" applyProtection="1">
      <alignment horizontal="center"/>
      <protection locked="0"/>
    </xf>
    <xf numFmtId="0" fontId="6" fillId="25" borderId="23" xfId="0" applyNumberFormat="1" applyFont="1" applyFill="1" applyBorder="1" applyAlignment="1" applyProtection="1">
      <alignment horizontal="center"/>
      <protection locked="0"/>
    </xf>
    <xf numFmtId="178" fontId="6" fillId="25" borderId="21" xfId="0" applyNumberFormat="1" applyFont="1" applyFill="1" applyBorder="1" applyAlignment="1" applyProtection="1">
      <alignment horizontal="center"/>
      <protection locked="0"/>
    </xf>
    <xf numFmtId="2" fontId="6" fillId="25" borderId="22" xfId="0" applyNumberFormat="1" applyFont="1" applyFill="1" applyBorder="1" applyAlignment="1" applyProtection="1">
      <alignment horizontal="center"/>
      <protection locked="0"/>
    </xf>
    <xf numFmtId="178" fontId="3" fillId="0" borderId="22" xfId="0" applyNumberFormat="1" applyFont="1" applyFill="1" applyBorder="1" applyAlignment="1" applyProtection="1">
      <alignment horizontal="center"/>
    </xf>
    <xf numFmtId="0" fontId="3" fillId="0" borderId="23" xfId="0" applyNumberFormat="1" applyFont="1" applyFill="1" applyBorder="1" applyAlignment="1" applyProtection="1">
      <alignment horizontal="center"/>
    </xf>
    <xf numFmtId="179" fontId="3" fillId="0" borderId="21" xfId="0" applyNumberFormat="1" applyFont="1" applyBorder="1" applyAlignment="1" applyProtection="1">
      <alignment horizontal="center"/>
    </xf>
    <xf numFmtId="179" fontId="3" fillId="0" borderId="22" xfId="0" applyNumberFormat="1" applyFont="1" applyBorder="1" applyAlignment="1" applyProtection="1">
      <alignment horizontal="center"/>
    </xf>
    <xf numFmtId="181" fontId="3" fillId="0" borderId="22" xfId="0" applyNumberFormat="1" applyFont="1" applyBorder="1" applyAlignment="1" applyProtection="1">
      <alignment horizontal="center"/>
    </xf>
    <xf numFmtId="176" fontId="8" fillId="26" borderId="21" xfId="0" applyNumberFormat="1" applyFont="1" applyFill="1" applyBorder="1" applyAlignment="1">
      <alignment horizontal="center"/>
    </xf>
    <xf numFmtId="176" fontId="3" fillId="0" borderId="22" xfId="0" applyNumberFormat="1" applyFont="1" applyBorder="1" applyAlignment="1">
      <alignment horizontal="center"/>
    </xf>
    <xf numFmtId="178" fontId="3" fillId="0" borderId="23" xfId="0" applyNumberFormat="1" applyFont="1" applyBorder="1" applyAlignment="1">
      <alignment horizontal="center"/>
    </xf>
    <xf numFmtId="178" fontId="3" fillId="0" borderId="22" xfId="0" applyNumberFormat="1" applyFont="1" applyBorder="1" applyAlignment="1">
      <alignment horizontal="center"/>
    </xf>
    <xf numFmtId="179" fontId="3" fillId="0" borderId="23" xfId="0" applyNumberFormat="1" applyFont="1" applyBorder="1" applyAlignment="1">
      <alignment horizontal="center"/>
    </xf>
    <xf numFmtId="176" fontId="8" fillId="26" borderId="23" xfId="0" applyNumberFormat="1" applyFont="1" applyFill="1" applyBorder="1" applyAlignment="1">
      <alignment horizontal="center"/>
    </xf>
    <xf numFmtId="176" fontId="8" fillId="26" borderId="22" xfId="0" applyNumberFormat="1" applyFont="1" applyFill="1" applyBorder="1" applyAlignment="1">
      <alignment horizontal="center"/>
    </xf>
    <xf numFmtId="179" fontId="3" fillId="0" borderId="23" xfId="0" applyNumberFormat="1" applyFont="1" applyBorder="1" applyAlignment="1" applyProtection="1">
      <alignment horizontal="center"/>
    </xf>
    <xf numFmtId="176" fontId="3" fillId="0" borderId="23" xfId="0" applyNumberFormat="1" applyFont="1" applyBorder="1" applyAlignment="1">
      <alignment horizontal="center"/>
    </xf>
    <xf numFmtId="178" fontId="3" fillId="0" borderId="23" xfId="0" applyNumberFormat="1" applyFont="1" applyFill="1" applyBorder="1" applyAlignment="1" applyProtection="1">
      <alignment horizontal="center"/>
    </xf>
    <xf numFmtId="2" fontId="6" fillId="0" borderId="19" xfId="0" applyNumberFormat="1" applyFont="1" applyFill="1" applyBorder="1" applyAlignment="1" applyProtection="1">
      <alignment horizontal="center"/>
      <protection locked="0"/>
    </xf>
    <xf numFmtId="0" fontId="6" fillId="0" borderId="19" xfId="0" applyNumberFormat="1" applyFont="1" applyFill="1" applyBorder="1" applyAlignment="1" applyProtection="1">
      <alignment horizontal="center"/>
      <protection locked="0"/>
    </xf>
    <xf numFmtId="0" fontId="6" fillId="0" borderId="24" xfId="0" applyNumberFormat="1" applyFont="1" applyFill="1" applyBorder="1" applyAlignment="1" applyProtection="1">
      <alignment horizontal="center"/>
      <protection locked="0"/>
    </xf>
    <xf numFmtId="0" fontId="10" fillId="0" borderId="24" xfId="0" applyNumberFormat="1" applyFont="1" applyFill="1" applyBorder="1" applyAlignment="1" applyProtection="1">
      <alignment horizontal="center"/>
      <protection locked="0"/>
    </xf>
    <xf numFmtId="0" fontId="10" fillId="0" borderId="19" xfId="0" applyNumberFormat="1" applyFont="1" applyFill="1" applyBorder="1" applyAlignment="1" applyProtection="1">
      <alignment horizontal="center"/>
      <protection locked="0"/>
    </xf>
    <xf numFmtId="179" fontId="6" fillId="0" borderId="19" xfId="0" applyNumberFormat="1" applyFont="1" applyFill="1" applyBorder="1" applyAlignment="1" applyProtection="1">
      <alignment horizontal="center"/>
      <protection locked="0"/>
    </xf>
    <xf numFmtId="0" fontId="6" fillId="0" borderId="21" xfId="0" applyNumberFormat="1" applyFont="1" applyFill="1" applyBorder="1" applyAlignment="1" applyProtection="1">
      <alignment horizontal="center"/>
      <protection locked="0"/>
    </xf>
    <xf numFmtId="0" fontId="6" fillId="0" borderId="23" xfId="0" applyNumberFormat="1" applyFont="1" applyFill="1" applyBorder="1" applyAlignment="1" applyProtection="1">
      <alignment horizontal="center"/>
      <protection locked="0"/>
    </xf>
    <xf numFmtId="0" fontId="6" fillId="0" borderId="22" xfId="0" applyNumberFormat="1" applyFont="1" applyFill="1" applyBorder="1" applyAlignment="1" applyProtection="1">
      <alignment horizontal="center"/>
      <protection locked="0"/>
    </xf>
    <xf numFmtId="178" fontId="6" fillId="0" borderId="23" xfId="0" applyNumberFormat="1" applyFont="1" applyFill="1" applyBorder="1" applyAlignment="1" applyProtection="1">
      <alignment horizontal="center"/>
      <protection locked="0"/>
    </xf>
    <xf numFmtId="178" fontId="6" fillId="0" borderId="19" xfId="0" applyNumberFormat="1" applyFont="1" applyFill="1" applyBorder="1" applyAlignment="1" applyProtection="1">
      <alignment horizontal="center"/>
      <protection locked="0"/>
    </xf>
    <xf numFmtId="2" fontId="6" fillId="0" borderId="22" xfId="0" applyNumberFormat="1" applyFont="1" applyFill="1" applyBorder="1" applyAlignment="1" applyProtection="1">
      <alignment horizontal="center"/>
      <protection locked="0"/>
    </xf>
    <xf numFmtId="178" fontId="3" fillId="0" borderId="22" xfId="0" applyNumberFormat="1" applyFont="1" applyFill="1" applyBorder="1" applyAlignment="1">
      <alignment horizontal="center"/>
    </xf>
    <xf numFmtId="178" fontId="3" fillId="0" borderId="23" xfId="0" applyNumberFormat="1" applyFont="1" applyFill="1" applyBorder="1" applyAlignment="1">
      <alignment horizontal="center"/>
    </xf>
    <xf numFmtId="2" fontId="3" fillId="0" borderId="19" xfId="0" applyNumberFormat="1" applyFont="1" applyFill="1" applyBorder="1" applyAlignment="1">
      <alignment horizontal="center"/>
    </xf>
    <xf numFmtId="176" fontId="3" fillId="0" borderId="19" xfId="0" applyNumberFormat="1" applyFont="1" applyFill="1" applyBorder="1" applyAlignment="1">
      <alignment horizontal="center"/>
    </xf>
    <xf numFmtId="0" fontId="3" fillId="0" borderId="21" xfId="0" applyNumberFormat="1" applyFont="1" applyFill="1" applyBorder="1" applyAlignment="1">
      <alignment horizontal="center"/>
    </xf>
    <xf numFmtId="0" fontId="3" fillId="0" borderId="23" xfId="0" applyNumberFormat="1" applyFont="1" applyFill="1" applyBorder="1" applyAlignment="1">
      <alignment horizontal="center"/>
    </xf>
    <xf numFmtId="179" fontId="3" fillId="0" borderId="21" xfId="0" applyNumberFormat="1" applyFont="1" applyFill="1" applyBorder="1" applyAlignment="1" applyProtection="1">
      <alignment horizontal="center"/>
    </xf>
    <xf numFmtId="2" fontId="6" fillId="0" borderId="21" xfId="0" applyNumberFormat="1" applyFont="1" applyFill="1" applyBorder="1" applyAlignment="1" applyProtection="1">
      <alignment horizontal="center"/>
      <protection locked="0"/>
    </xf>
    <xf numFmtId="179" fontId="3" fillId="0" borderId="23" xfId="0" applyNumberFormat="1" applyFont="1" applyFill="1" applyBorder="1" applyAlignment="1">
      <alignment horizontal="center"/>
    </xf>
    <xf numFmtId="179" fontId="3" fillId="0" borderId="22" xfId="0" applyNumberFormat="1" applyFont="1" applyFill="1" applyBorder="1" applyAlignment="1">
      <alignment horizontal="center"/>
    </xf>
    <xf numFmtId="178" fontId="10" fillId="0" borderId="23" xfId="0" applyNumberFormat="1" applyFont="1" applyFill="1" applyBorder="1" applyAlignment="1" applyProtection="1">
      <alignment horizontal="center"/>
      <protection locked="0"/>
    </xf>
    <xf numFmtId="178" fontId="10" fillId="0" borderId="19" xfId="0" applyNumberFormat="1" applyFont="1" applyFill="1" applyBorder="1" applyAlignment="1" applyProtection="1">
      <alignment horizontal="center"/>
      <protection locked="0"/>
    </xf>
    <xf numFmtId="0" fontId="10" fillId="0" borderId="21" xfId="0" applyNumberFormat="1" applyFont="1" applyFill="1" applyBorder="1" applyAlignment="1" applyProtection="1">
      <alignment horizontal="center"/>
      <protection locked="0"/>
    </xf>
    <xf numFmtId="0" fontId="10" fillId="0" borderId="22" xfId="0" applyNumberFormat="1" applyFont="1" applyFill="1" applyBorder="1" applyAlignment="1" applyProtection="1">
      <alignment horizontal="center"/>
      <protection locked="0"/>
    </xf>
    <xf numFmtId="0" fontId="10" fillId="0" borderId="23" xfId="0" applyNumberFormat="1" applyFont="1" applyFill="1" applyBorder="1" applyAlignment="1" applyProtection="1">
      <alignment horizontal="center"/>
      <protection locked="0"/>
    </xf>
    <xf numFmtId="2" fontId="10" fillId="0" borderId="22" xfId="0" applyNumberFormat="1" applyFont="1" applyFill="1" applyBorder="1" applyAlignment="1" applyProtection="1">
      <alignment horizontal="center"/>
      <protection locked="0"/>
    </xf>
    <xf numFmtId="2" fontId="10" fillId="0" borderId="21" xfId="0" applyNumberFormat="1" applyFont="1" applyFill="1" applyBorder="1" applyAlignment="1" applyProtection="1">
      <alignment horizontal="center"/>
      <protection locked="0"/>
    </xf>
    <xf numFmtId="178" fontId="3" fillId="0" borderId="19" xfId="0" applyNumberFormat="1" applyFont="1" applyFill="1" applyBorder="1" applyAlignment="1" applyProtection="1">
      <alignment horizontal="center"/>
      <protection locked="0"/>
    </xf>
    <xf numFmtId="0" fontId="3" fillId="0" borderId="19" xfId="0" applyNumberFormat="1" applyFont="1" applyFill="1" applyBorder="1" applyAlignment="1" applyProtection="1">
      <alignment horizontal="center"/>
      <protection locked="0"/>
    </xf>
    <xf numFmtId="176" fontId="3" fillId="0" borderId="19" xfId="0" applyNumberFormat="1" applyFont="1" applyFill="1" applyBorder="1" applyAlignment="1" applyProtection="1">
      <alignment horizontal="center"/>
      <protection locked="0"/>
    </xf>
    <xf numFmtId="179" fontId="3" fillId="0" borderId="19" xfId="0" applyNumberFormat="1" applyFont="1" applyBorder="1" applyAlignment="1" applyProtection="1">
      <alignment horizontal="center"/>
      <protection locked="0"/>
    </xf>
    <xf numFmtId="0" fontId="3" fillId="0" borderId="20" xfId="0" applyNumberFormat="1" applyFont="1" applyBorder="1" applyAlignment="1" applyProtection="1">
      <alignment horizontal="center"/>
      <protection locked="0"/>
    </xf>
    <xf numFmtId="0" fontId="6" fillId="25" borderId="19" xfId="0" applyNumberFormat="1" applyFont="1" applyFill="1" applyBorder="1" applyAlignment="1" applyProtection="1">
      <alignment horizontal="center"/>
    </xf>
    <xf numFmtId="178" fontId="6" fillId="25" borderId="19" xfId="0" applyNumberFormat="1" applyFont="1" applyFill="1" applyBorder="1" applyAlignment="1" applyProtection="1">
      <alignment horizontal="center"/>
    </xf>
    <xf numFmtId="2" fontId="6" fillId="25" borderId="19" xfId="0" applyNumberFormat="1" applyFont="1" applyFill="1" applyBorder="1" applyAlignment="1" applyProtection="1">
      <alignment horizontal="center"/>
    </xf>
    <xf numFmtId="0" fontId="5" fillId="0" borderId="0" xfId="0" applyNumberFormat="1" applyFont="1" applyProtection="1">
      <protection locked="0"/>
    </xf>
    <xf numFmtId="178" fontId="5" fillId="0" borderId="22" xfId="0" applyNumberFormat="1" applyFont="1" applyFill="1" applyBorder="1" applyAlignment="1" applyProtection="1">
      <alignment horizontal="center"/>
      <protection locked="0"/>
    </xf>
    <xf numFmtId="0" fontId="5" fillId="0" borderId="22" xfId="0" applyNumberFormat="1" applyFont="1" applyFill="1" applyBorder="1" applyAlignment="1" applyProtection="1">
      <alignment horizontal="center"/>
      <protection locked="0"/>
    </xf>
    <xf numFmtId="179" fontId="5" fillId="0" borderId="21" xfId="0" applyNumberFormat="1" applyFont="1" applyBorder="1" applyAlignment="1" applyProtection="1">
      <alignment horizontal="center"/>
      <protection locked="0"/>
    </xf>
    <xf numFmtId="179" fontId="5" fillId="0" borderId="22" xfId="0" applyNumberFormat="1" applyFont="1" applyBorder="1" applyAlignment="1" applyProtection="1">
      <alignment horizontal="center"/>
      <protection locked="0"/>
    </xf>
    <xf numFmtId="181" fontId="5" fillId="0" borderId="22" xfId="0" applyNumberFormat="1" applyFont="1" applyBorder="1" applyAlignment="1" applyProtection="1">
      <alignment horizontal="center"/>
      <protection locked="0"/>
    </xf>
    <xf numFmtId="176" fontId="5" fillId="0" borderId="22" xfId="0" applyNumberFormat="1" applyFont="1" applyBorder="1" applyAlignment="1" applyProtection="1">
      <alignment horizontal="center"/>
      <protection locked="0"/>
    </xf>
    <xf numFmtId="2" fontId="5" fillId="0" borderId="22" xfId="0" applyNumberFormat="1" applyFont="1" applyFill="1" applyBorder="1" applyAlignment="1" applyProtection="1">
      <alignment horizontal="center"/>
      <protection locked="0"/>
    </xf>
    <xf numFmtId="179" fontId="5" fillId="0" borderId="22" xfId="0" applyNumberFormat="1" applyFont="1" applyFill="1" applyBorder="1" applyAlignment="1" applyProtection="1">
      <alignment horizontal="center"/>
      <protection locked="0"/>
    </xf>
    <xf numFmtId="0" fontId="5" fillId="0" borderId="0" xfId="0" applyFont="1" applyProtection="1">
      <protection locked="0"/>
    </xf>
    <xf numFmtId="179" fontId="5" fillId="0" borderId="23" xfId="0" applyNumberFormat="1" applyFont="1" applyFill="1" applyBorder="1" applyAlignment="1" applyProtection="1">
      <alignment horizontal="center"/>
      <protection locked="0"/>
    </xf>
    <xf numFmtId="0" fontId="5" fillId="0" borderId="21" xfId="0" applyNumberFormat="1" applyFont="1" applyFill="1" applyBorder="1" applyAlignment="1" applyProtection="1">
      <alignment horizontal="center"/>
      <protection locked="0"/>
    </xf>
    <xf numFmtId="177" fontId="5" fillId="0" borderId="21" xfId="0" applyNumberFormat="1" applyFont="1" applyFill="1" applyBorder="1" applyAlignment="1" applyProtection="1">
      <alignment horizontal="center"/>
      <protection locked="0"/>
    </xf>
    <xf numFmtId="177" fontId="5" fillId="0" borderId="22" xfId="0" applyNumberFormat="1" applyFont="1" applyFill="1" applyBorder="1" applyAlignment="1" applyProtection="1">
      <alignment horizontal="center"/>
      <protection locked="0"/>
    </xf>
    <xf numFmtId="179" fontId="5" fillId="0" borderId="23" xfId="0" applyNumberFormat="1" applyFont="1" applyBorder="1" applyAlignment="1" applyProtection="1">
      <alignment horizontal="center"/>
      <protection locked="0"/>
    </xf>
    <xf numFmtId="0" fontId="5" fillId="0" borderId="25" xfId="0" applyNumberFormat="1" applyFont="1" applyBorder="1" applyAlignment="1" applyProtection="1">
      <alignment horizontal="center"/>
      <protection locked="0"/>
    </xf>
    <xf numFmtId="0" fontId="5" fillId="0" borderId="0" xfId="0" applyNumberFormat="1" applyFont="1" applyBorder="1" applyAlignment="1" applyProtection="1">
      <alignment horizontal="left"/>
    </xf>
    <xf numFmtId="0" fontId="5" fillId="0" borderId="0" xfId="0" applyNumberFormat="1" applyFont="1" applyBorder="1" applyProtection="1"/>
    <xf numFmtId="0" fontId="5" fillId="0" borderId="13" xfId="0" applyNumberFormat="1" applyFont="1" applyBorder="1" applyAlignment="1" applyProtection="1">
      <alignment horizontal="left" indent="1"/>
    </xf>
    <xf numFmtId="0" fontId="5" fillId="0" borderId="14" xfId="0" applyNumberFormat="1" applyFont="1" applyBorder="1" applyAlignment="1" applyProtection="1">
      <alignment horizontal="left" indent="1"/>
    </xf>
    <xf numFmtId="0" fontId="5" fillId="0" borderId="16" xfId="0" applyNumberFormat="1" applyFont="1" applyBorder="1" applyAlignment="1" applyProtection="1">
      <alignment horizontal="left" indent="1"/>
    </xf>
    <xf numFmtId="0" fontId="5" fillId="0" borderId="17" xfId="0" applyNumberFormat="1" applyFont="1" applyBorder="1" applyAlignment="1" applyProtection="1">
      <alignment horizontal="left" indent="1"/>
    </xf>
    <xf numFmtId="0" fontId="5" fillId="0" borderId="18" xfId="0" applyNumberFormat="1" applyFont="1" applyBorder="1" applyAlignment="1" applyProtection="1">
      <alignment horizontal="left" indent="1"/>
    </xf>
    <xf numFmtId="49" fontId="5" fillId="0" borderId="17" xfId="0" applyNumberFormat="1" applyFont="1" applyBorder="1" applyAlignment="1" applyProtection="1">
      <alignment horizontal="left" indent="1"/>
    </xf>
    <xf numFmtId="0" fontId="5" fillId="0" borderId="17" xfId="0" applyFont="1" applyBorder="1" applyAlignment="1" applyProtection="1">
      <alignment horizontal="center" shrinkToFit="1"/>
    </xf>
    <xf numFmtId="0" fontId="5" fillId="0" borderId="18" xfId="0" applyFont="1" applyBorder="1" applyAlignment="1" applyProtection="1">
      <alignment horizontal="center" shrinkToFit="1"/>
    </xf>
    <xf numFmtId="0" fontId="5" fillId="0" borderId="17" xfId="0" applyFont="1" applyBorder="1" applyAlignment="1" applyProtection="1">
      <alignment horizontal="left" indent="1"/>
    </xf>
    <xf numFmtId="0" fontId="5" fillId="0" borderId="18" xfId="0" applyFont="1" applyBorder="1" applyAlignment="1" applyProtection="1">
      <alignment horizontal="left" indent="1"/>
    </xf>
    <xf numFmtId="0" fontId="5" fillId="0" borderId="15" xfId="0" applyNumberFormat="1" applyFont="1" applyBorder="1" applyAlignment="1" applyProtection="1">
      <alignment horizontal="left" indent="1"/>
    </xf>
    <xf numFmtId="0" fontId="10" fillId="25" borderId="19" xfId="0" applyNumberFormat="1" applyFont="1" applyFill="1" applyBorder="1" applyAlignment="1" applyProtection="1">
      <alignment horizontal="center"/>
    </xf>
    <xf numFmtId="0" fontId="10" fillId="25" borderId="21" xfId="0" applyNumberFormat="1" applyFont="1" applyFill="1" applyBorder="1" applyAlignment="1" applyProtection="1">
      <alignment horizontal="center"/>
    </xf>
    <xf numFmtId="0" fontId="10" fillId="25" borderId="22" xfId="0" applyNumberFormat="1" applyFont="1" applyFill="1" applyBorder="1" applyAlignment="1" applyProtection="1">
      <alignment horizontal="center"/>
    </xf>
    <xf numFmtId="0" fontId="10" fillId="25" borderId="23" xfId="0" applyNumberFormat="1" applyFont="1" applyFill="1" applyBorder="1" applyAlignment="1" applyProtection="1">
      <alignment horizontal="center"/>
    </xf>
    <xf numFmtId="178" fontId="10" fillId="25" borderId="21" xfId="0" applyNumberFormat="1" applyFont="1" applyFill="1" applyBorder="1" applyAlignment="1" applyProtection="1">
      <alignment horizontal="center"/>
    </xf>
    <xf numFmtId="2" fontId="10" fillId="25" borderId="22" xfId="0" applyNumberFormat="1" applyFont="1" applyFill="1" applyBorder="1" applyAlignment="1" applyProtection="1">
      <alignment horizontal="center"/>
    </xf>
    <xf numFmtId="178" fontId="10" fillId="25" borderId="22" xfId="0" applyNumberFormat="1" applyFont="1" applyFill="1" applyBorder="1" applyAlignment="1" applyProtection="1">
      <alignment horizontal="center"/>
    </xf>
    <xf numFmtId="176" fontId="11" fillId="26" borderId="21" xfId="0" applyNumberFormat="1" applyFont="1" applyFill="1" applyBorder="1" applyAlignment="1" applyProtection="1">
      <alignment horizontal="center"/>
    </xf>
    <xf numFmtId="2" fontId="3" fillId="0" borderId="19" xfId="0" applyNumberFormat="1" applyFont="1" applyBorder="1" applyAlignment="1" applyProtection="1">
      <alignment horizontal="center"/>
      <protection locked="0"/>
    </xf>
    <xf numFmtId="179" fontId="3" fillId="0" borderId="19" xfId="0" applyNumberFormat="1" applyFont="1" applyFill="1" applyBorder="1" applyAlignment="1" applyProtection="1">
      <alignment horizontal="center"/>
      <protection locked="0"/>
    </xf>
    <xf numFmtId="177" fontId="3" fillId="0" borderId="19" xfId="0" applyNumberFormat="1" applyFont="1" applyFill="1" applyBorder="1" applyAlignment="1" applyProtection="1">
      <alignment horizontal="center"/>
      <protection locked="0"/>
    </xf>
    <xf numFmtId="2" fontId="3" fillId="0" borderId="19" xfId="0" applyNumberFormat="1" applyFont="1" applyFill="1" applyBorder="1" applyAlignment="1" applyProtection="1">
      <alignment horizontal="center"/>
      <protection locked="0"/>
    </xf>
    <xf numFmtId="0" fontId="3" fillId="0" borderId="14" xfId="0" applyFont="1" applyBorder="1" applyAlignment="1" applyProtection="1">
      <alignment horizontal="center" shrinkToFit="1"/>
    </xf>
    <xf numFmtId="182" fontId="8" fillId="26" borderId="23" xfId="0" applyNumberFormat="1" applyFont="1" applyFill="1" applyBorder="1" applyAlignment="1" applyProtection="1">
      <alignment horizontal="center"/>
      <protection locked="0"/>
    </xf>
    <xf numFmtId="182" fontId="8" fillId="26" borderId="21" xfId="0" applyNumberFormat="1" applyFont="1" applyFill="1" applyBorder="1" applyAlignment="1" applyProtection="1">
      <alignment horizontal="center"/>
      <protection locked="0"/>
    </xf>
    <xf numFmtId="182" fontId="8" fillId="26" borderId="22" xfId="0" applyNumberFormat="1" applyFont="1" applyFill="1" applyBorder="1" applyAlignment="1" applyProtection="1">
      <alignment horizontal="center"/>
      <protection locked="0"/>
    </xf>
    <xf numFmtId="0" fontId="6" fillId="25" borderId="19" xfId="0" applyNumberFormat="1" applyFont="1" applyFill="1" applyBorder="1" applyAlignment="1" applyProtection="1">
      <alignment horizontal="center" wrapText="1"/>
      <protection locked="0"/>
    </xf>
    <xf numFmtId="0" fontId="6" fillId="25" borderId="21" xfId="0" applyNumberFormat="1" applyFont="1" applyFill="1" applyBorder="1" applyAlignment="1" applyProtection="1">
      <alignment horizontal="center" wrapText="1"/>
      <protection locked="0"/>
    </xf>
    <xf numFmtId="0" fontId="6" fillId="25" borderId="22" xfId="0" applyNumberFormat="1" applyFont="1" applyFill="1" applyBorder="1" applyAlignment="1" applyProtection="1">
      <alignment horizontal="center" wrapText="1"/>
      <protection locked="0"/>
    </xf>
    <xf numFmtId="0" fontId="66" fillId="0" borderId="0" xfId="377" applyFont="1" applyFill="1" applyBorder="1">
      <alignment vertical="center"/>
    </xf>
    <xf numFmtId="0" fontId="66" fillId="0" borderId="0" xfId="377" applyFont="1" applyFill="1">
      <alignment vertical="center"/>
    </xf>
    <xf numFmtId="0" fontId="68" fillId="0" borderId="0" xfId="0" applyFont="1" applyFill="1"/>
    <xf numFmtId="0" fontId="69" fillId="0" borderId="0" xfId="377" applyFont="1" applyFill="1">
      <alignment vertical="center"/>
    </xf>
    <xf numFmtId="0" fontId="28" fillId="0" borderId="0" xfId="0" applyFont="1" applyFill="1"/>
    <xf numFmtId="0" fontId="66" fillId="0" borderId="0" xfId="0" applyFont="1" applyFill="1"/>
    <xf numFmtId="0" fontId="70" fillId="0" borderId="0" xfId="0" applyFont="1" applyFill="1" applyAlignment="1">
      <alignment horizontal="centerContinuous"/>
    </xf>
    <xf numFmtId="0" fontId="64" fillId="0" borderId="0" xfId="0" applyFont="1" applyFill="1" applyAlignment="1">
      <alignment horizontal="centerContinuous"/>
    </xf>
    <xf numFmtId="0" fontId="64" fillId="0" borderId="0" xfId="0" applyFont="1" applyFill="1"/>
    <xf numFmtId="0" fontId="66" fillId="0" borderId="0" xfId="377" applyFont="1" applyFill="1" applyAlignment="1">
      <alignment horizontal="left" vertical="center" indent="1"/>
    </xf>
    <xf numFmtId="0" fontId="66" fillId="0" borderId="0" xfId="377" applyFont="1" applyFill="1" applyAlignment="1">
      <alignment horizontal="left" vertical="center" indent="2"/>
    </xf>
    <xf numFmtId="0" fontId="71" fillId="0" borderId="0" xfId="377" applyFont="1" applyFill="1">
      <alignment vertical="center"/>
    </xf>
    <xf numFmtId="0" fontId="71" fillId="0" borderId="0" xfId="377" applyFont="1" applyFill="1" applyAlignment="1">
      <alignment horizontal="left" vertical="center"/>
    </xf>
    <xf numFmtId="0" fontId="71" fillId="25" borderId="0" xfId="377" applyFont="1" applyFill="1" applyAlignment="1">
      <alignment horizontal="left" vertical="center"/>
    </xf>
    <xf numFmtId="2" fontId="72" fillId="26" borderId="0" xfId="0" applyNumberFormat="1" applyFont="1" applyFill="1" applyBorder="1" applyAlignment="1" applyProtection="1">
      <alignment horizontal="left"/>
    </xf>
    <xf numFmtId="0" fontId="7" fillId="0" borderId="0" xfId="272" applyFill="1" applyAlignment="1" applyProtection="1">
      <alignment vertical="center"/>
    </xf>
    <xf numFmtId="0" fontId="73" fillId="0" borderId="0" xfId="377" applyFont="1" applyFill="1" applyBorder="1">
      <alignment vertical="center"/>
    </xf>
    <xf numFmtId="0" fontId="74" fillId="0" borderId="0" xfId="0" applyFont="1" applyFill="1"/>
    <xf numFmtId="0" fontId="73" fillId="0" borderId="0" xfId="377" applyFont="1" applyFill="1">
      <alignment vertical="center"/>
    </xf>
    <xf numFmtId="0" fontId="3" fillId="0" borderId="0" xfId="0" applyNumberFormat="1" applyFont="1" applyFill="1" applyBorder="1" applyAlignment="1">
      <alignment horizontal="left" vertical="center" indent="1"/>
    </xf>
    <xf numFmtId="0" fontId="3" fillId="0" borderId="0" xfId="0" applyNumberFormat="1" applyFont="1" applyFill="1" applyBorder="1" applyAlignment="1" applyProtection="1">
      <alignment horizontal="center" vertical="center" wrapText="1"/>
      <protection locked="0"/>
    </xf>
    <xf numFmtId="0" fontId="28" fillId="0" borderId="0" xfId="0" applyFont="1" applyFill="1" applyAlignment="1">
      <alignment horizontal="left" indent="1"/>
    </xf>
    <xf numFmtId="2" fontId="71" fillId="0" borderId="26" xfId="377" applyNumberFormat="1" applyFont="1" applyFill="1" applyBorder="1">
      <alignment vertical="center"/>
    </xf>
    <xf numFmtId="0" fontId="71" fillId="0" borderId="27" xfId="377" applyFont="1" applyFill="1" applyBorder="1">
      <alignment vertical="center"/>
    </xf>
    <xf numFmtId="0" fontId="71" fillId="0" borderId="0" xfId="377" applyFont="1" applyFill="1" applyBorder="1">
      <alignment vertical="center"/>
    </xf>
    <xf numFmtId="0" fontId="71" fillId="0" borderId="18" xfId="377" applyFont="1" applyFill="1" applyBorder="1">
      <alignment vertical="center"/>
    </xf>
    <xf numFmtId="0" fontId="71" fillId="0" borderId="28" xfId="377" applyFont="1" applyFill="1" applyBorder="1">
      <alignment vertical="center"/>
    </xf>
    <xf numFmtId="0" fontId="71" fillId="0" borderId="23" xfId="377" applyFont="1" applyFill="1" applyBorder="1" applyAlignment="1">
      <alignment horizontal="right" vertical="center"/>
    </xf>
    <xf numFmtId="0" fontId="71" fillId="0" borderId="29" xfId="377" applyFont="1" applyFill="1" applyBorder="1" applyAlignment="1">
      <alignment horizontal="right" vertical="center"/>
    </xf>
    <xf numFmtId="0" fontId="71" fillId="0" borderId="23" xfId="377" applyFont="1" applyFill="1" applyBorder="1">
      <alignment vertical="center"/>
    </xf>
    <xf numFmtId="0" fontId="71" fillId="0" borderId="28" xfId="377" applyFont="1" applyFill="1" applyBorder="1" applyAlignment="1">
      <alignment horizontal="right" vertical="center"/>
    </xf>
    <xf numFmtId="0" fontId="71" fillId="0" borderId="28" xfId="377" applyFont="1" applyFill="1" applyBorder="1" applyAlignment="1">
      <alignment horizontal="center" vertical="center"/>
    </xf>
    <xf numFmtId="0" fontId="71" fillId="0" borderId="14" xfId="377" applyFont="1" applyFill="1" applyBorder="1">
      <alignment vertical="center"/>
    </xf>
    <xf numFmtId="0" fontId="71" fillId="0" borderId="30" xfId="377" applyFont="1" applyFill="1" applyBorder="1">
      <alignment vertical="center"/>
    </xf>
    <xf numFmtId="0" fontId="71" fillId="0" borderId="19" xfId="377" applyFont="1" applyFill="1" applyBorder="1" applyAlignment="1">
      <alignment horizontal="right" vertical="center"/>
    </xf>
    <xf numFmtId="0" fontId="71" fillId="0" borderId="14" xfId="377" applyFont="1" applyFill="1" applyBorder="1" applyAlignment="1">
      <alignment horizontal="right" vertical="center"/>
    </xf>
    <xf numFmtId="0" fontId="71" fillId="0" borderId="19" xfId="377" applyFont="1" applyFill="1" applyBorder="1">
      <alignment vertical="center"/>
    </xf>
    <xf numFmtId="0" fontId="71" fillId="0" borderId="30" xfId="377" applyFont="1" applyFill="1" applyBorder="1" applyAlignment="1">
      <alignment horizontal="right" vertical="center"/>
    </xf>
    <xf numFmtId="0" fontId="71" fillId="0" borderId="30" xfId="377" applyFont="1" applyFill="1" applyBorder="1" applyAlignment="1">
      <alignment horizontal="center" vertical="center"/>
    </xf>
    <xf numFmtId="0" fontId="71" fillId="0" borderId="16" xfId="377" applyFont="1" applyFill="1" applyBorder="1">
      <alignment vertical="center"/>
    </xf>
    <xf numFmtId="0" fontId="71" fillId="0" borderId="31" xfId="377" applyFont="1" applyFill="1" applyBorder="1">
      <alignment vertical="center"/>
    </xf>
    <xf numFmtId="0" fontId="71" fillId="0" borderId="21" xfId="377" applyFont="1" applyFill="1" applyBorder="1" applyAlignment="1">
      <alignment horizontal="right" vertical="center"/>
    </xf>
    <xf numFmtId="0" fontId="71" fillId="0" borderId="16" xfId="377" applyFont="1" applyFill="1" applyBorder="1" applyAlignment="1">
      <alignment horizontal="right" vertical="center"/>
    </xf>
    <xf numFmtId="0" fontId="71" fillId="0" borderId="21" xfId="377" applyFont="1" applyFill="1" applyBorder="1">
      <alignment vertical="center"/>
    </xf>
    <xf numFmtId="0" fontId="71" fillId="0" borderId="31" xfId="377" applyFont="1" applyFill="1" applyBorder="1" applyAlignment="1">
      <alignment horizontal="right" vertical="center"/>
    </xf>
    <xf numFmtId="0" fontId="71" fillId="0" borderId="31" xfId="377" applyFont="1" applyFill="1" applyBorder="1" applyAlignment="1">
      <alignment horizontal="center" vertical="center"/>
    </xf>
    <xf numFmtId="0" fontId="66" fillId="0" borderId="0" xfId="377" applyFont="1" applyFill="1" applyBorder="1" applyAlignment="1">
      <alignment horizontal="center" vertical="center"/>
    </xf>
    <xf numFmtId="0" fontId="75" fillId="0" borderId="0" xfId="0" applyFont="1" applyAlignment="1">
      <alignment horizontal="left"/>
    </xf>
    <xf numFmtId="0" fontId="4" fillId="0" borderId="0" xfId="0" applyFont="1"/>
    <xf numFmtId="0" fontId="0" fillId="0" borderId="0" xfId="0" applyFont="1" applyAlignment="1">
      <alignment horizontal="left"/>
    </xf>
    <xf numFmtId="0" fontId="0" fillId="0" borderId="0" xfId="0" applyFont="1"/>
    <xf numFmtId="0" fontId="6" fillId="25" borderId="19" xfId="0" applyNumberFormat="1" applyFont="1" applyFill="1" applyBorder="1" applyAlignment="1" applyProtection="1">
      <alignment horizontal="center" vertical="center" wrapText="1"/>
      <protection locked="0"/>
    </xf>
    <xf numFmtId="0" fontId="3" fillId="0" borderId="20" xfId="0" applyNumberFormat="1" applyFont="1" applyFill="1" applyBorder="1" applyAlignment="1" applyProtection="1">
      <alignment horizontal="center"/>
    </xf>
    <xf numFmtId="0" fontId="6" fillId="0" borderId="24" xfId="0" applyNumberFormat="1" applyFont="1" applyFill="1" applyBorder="1" applyAlignment="1" applyProtection="1">
      <alignment horizontal="center" wrapText="1"/>
      <protection locked="0"/>
    </xf>
    <xf numFmtId="0" fontId="3" fillId="0" borderId="0" xfId="0" applyNumberFormat="1" applyFont="1" applyAlignment="1" applyProtection="1">
      <alignment horizontal="center"/>
      <protection locked="0"/>
    </xf>
    <xf numFmtId="0" fontId="3" fillId="0" borderId="0" xfId="386" applyFont="1" applyProtection="1">
      <protection locked="0"/>
    </xf>
    <xf numFmtId="0" fontId="3" fillId="0" borderId="0" xfId="0" applyNumberFormat="1" applyFont="1" applyAlignment="1" applyProtection="1">
      <alignment horizontal="left"/>
      <protection locked="0"/>
    </xf>
    <xf numFmtId="0" fontId="3" fillId="0" borderId="0" xfId="387" applyFont="1" applyProtection="1">
      <protection locked="0"/>
    </xf>
    <xf numFmtId="0" fontId="3" fillId="0" borderId="30" xfId="0" applyNumberFormat="1" applyFont="1" applyBorder="1" applyAlignment="1" applyProtection="1">
      <alignment horizontal="left" indent="1"/>
      <protection locked="0"/>
    </xf>
    <xf numFmtId="0" fontId="3" fillId="0" borderId="0" xfId="388" applyFont="1" applyProtection="1">
      <protection locked="0"/>
    </xf>
    <xf numFmtId="176" fontId="79" fillId="29" borderId="19" xfId="388" applyNumberFormat="1" applyFont="1" applyFill="1" applyBorder="1" applyAlignment="1" applyProtection="1">
      <alignment horizontal="center"/>
      <protection locked="0"/>
    </xf>
    <xf numFmtId="177" fontId="3" fillId="0" borderId="19" xfId="388" applyNumberFormat="1" applyFont="1" applyFill="1" applyBorder="1" applyAlignment="1" applyProtection="1">
      <alignment horizontal="center"/>
      <protection locked="0"/>
    </xf>
    <xf numFmtId="178" fontId="8" fillId="26" borderId="19" xfId="0" applyNumberFormat="1" applyFont="1" applyFill="1" applyBorder="1" applyAlignment="1" applyProtection="1">
      <alignment horizontal="center"/>
      <protection locked="0"/>
    </xf>
    <xf numFmtId="2" fontId="8" fillId="26" borderId="19" xfId="0" applyNumberFormat="1" applyFont="1" applyFill="1" applyBorder="1" applyAlignment="1" applyProtection="1">
      <alignment horizontal="center"/>
      <protection locked="0"/>
    </xf>
    <xf numFmtId="2" fontId="79" fillId="0" borderId="19" xfId="0" applyNumberFormat="1" applyFont="1" applyFill="1" applyBorder="1" applyAlignment="1" applyProtection="1">
      <alignment horizontal="center"/>
      <protection locked="0"/>
    </xf>
    <xf numFmtId="0" fontId="3" fillId="0" borderId="39" xfId="0" applyNumberFormat="1" applyFont="1" applyBorder="1" applyAlignment="1" applyProtection="1">
      <alignment horizontal="left" indent="1"/>
      <protection locked="0"/>
    </xf>
    <xf numFmtId="0" fontId="3" fillId="0" borderId="0" xfId="388" applyFont="1" applyBorder="1" applyAlignment="1" applyProtection="1">
      <alignment vertical="center" textRotation="255"/>
      <protection locked="0"/>
    </xf>
    <xf numFmtId="0" fontId="3" fillId="0" borderId="0" xfId="0" applyNumberFormat="1" applyFont="1" applyBorder="1" applyAlignment="1" applyProtection="1">
      <alignment horizontal="left" indent="1"/>
      <protection locked="0"/>
    </xf>
    <xf numFmtId="0" fontId="3" fillId="0" borderId="0" xfId="0" applyNumberFormat="1" applyFont="1" applyBorder="1" applyAlignment="1" applyProtection="1">
      <alignment horizontal="center"/>
      <protection locked="0"/>
    </xf>
    <xf numFmtId="0" fontId="3" fillId="0" borderId="0" xfId="390" applyFont="1" applyAlignment="1" applyProtection="1">
      <alignment horizontal="left" vertical="center"/>
      <protection locked="0"/>
    </xf>
    <xf numFmtId="0" fontId="3" fillId="0" borderId="0" xfId="389" applyFont="1" applyFill="1" applyAlignment="1" applyProtection="1">
      <protection locked="0"/>
    </xf>
    <xf numFmtId="0" fontId="3" fillId="0" borderId="0" xfId="389" applyFont="1" applyFill="1" applyAlignment="1" applyProtection="1">
      <alignment horizontal="center"/>
      <protection locked="0"/>
    </xf>
    <xf numFmtId="0" fontId="3" fillId="0" borderId="38" xfId="0" applyNumberFormat="1" applyFont="1" applyBorder="1" applyAlignment="1" applyProtection="1">
      <alignment horizontal="left" indent="1"/>
      <protection locked="0"/>
    </xf>
    <xf numFmtId="0" fontId="3" fillId="28" borderId="30" xfId="388" applyFont="1" applyFill="1" applyBorder="1" applyAlignment="1" applyProtection="1">
      <alignment horizontal="left" indent="1" shrinkToFit="1"/>
      <protection locked="0"/>
    </xf>
    <xf numFmtId="187" fontId="79" fillId="0" borderId="19" xfId="388" applyNumberFormat="1" applyFont="1" applyFill="1" applyBorder="1" applyAlignment="1" applyProtection="1">
      <alignment horizontal="center"/>
      <protection locked="0"/>
    </xf>
    <xf numFmtId="176" fontId="6" fillId="0" borderId="19" xfId="388" applyNumberFormat="1" applyFont="1" applyFill="1" applyBorder="1" applyAlignment="1" applyProtection="1">
      <alignment horizontal="center"/>
      <protection locked="0"/>
    </xf>
    <xf numFmtId="0" fontId="3" fillId="0" borderId="30" xfId="0" applyNumberFormat="1" applyFont="1" applyFill="1" applyBorder="1" applyAlignment="1" applyProtection="1">
      <alignment horizontal="left" indent="1"/>
      <protection locked="0"/>
    </xf>
    <xf numFmtId="176" fontId="3" fillId="0" borderId="24" xfId="388" applyNumberFormat="1" applyFont="1" applyFill="1" applyBorder="1" applyAlignment="1" applyProtection="1">
      <alignment horizontal="center"/>
    </xf>
    <xf numFmtId="176" fontId="3" fillId="0" borderId="19" xfId="388" applyNumberFormat="1" applyFont="1" applyFill="1" applyBorder="1" applyAlignment="1" applyProtection="1">
      <alignment horizontal="center"/>
    </xf>
    <xf numFmtId="187" fontId="3" fillId="0" borderId="19" xfId="388" applyNumberFormat="1" applyFont="1" applyFill="1" applyBorder="1" applyAlignment="1" applyProtection="1">
      <alignment horizontal="center"/>
    </xf>
    <xf numFmtId="176" fontId="3" fillId="0" borderId="20" xfId="388" applyNumberFormat="1" applyFont="1" applyFill="1" applyBorder="1" applyAlignment="1" applyProtection="1">
      <alignment horizontal="center"/>
    </xf>
    <xf numFmtId="0" fontId="66" fillId="27" borderId="32" xfId="377" applyFont="1" applyFill="1" applyBorder="1" applyAlignment="1">
      <alignment horizontal="center" vertical="center" wrapText="1"/>
    </xf>
    <xf numFmtId="0" fontId="66" fillId="27" borderId="33" xfId="377" applyFont="1" applyFill="1" applyBorder="1" applyAlignment="1">
      <alignment horizontal="center" vertical="center" wrapText="1"/>
    </xf>
    <xf numFmtId="0" fontId="66" fillId="27" borderId="34" xfId="377" applyFont="1" applyFill="1" applyBorder="1" applyAlignment="1">
      <alignment horizontal="center" vertical="center" wrapText="1"/>
    </xf>
    <xf numFmtId="0" fontId="66" fillId="27" borderId="25" xfId="377" applyFont="1" applyFill="1" applyBorder="1" applyAlignment="1">
      <alignment horizontal="center" vertical="center" wrapText="1"/>
    </xf>
    <xf numFmtId="0" fontId="66" fillId="27" borderId="35" xfId="377" applyFont="1" applyFill="1" applyBorder="1" applyAlignment="1">
      <alignment horizontal="center" vertical="center" wrapText="1"/>
    </xf>
    <xf numFmtId="0" fontId="66" fillId="27" borderId="36" xfId="377" applyFont="1" applyFill="1" applyBorder="1" applyAlignment="1">
      <alignment horizontal="center" vertical="center" wrapText="1"/>
    </xf>
    <xf numFmtId="0" fontId="58" fillId="0" borderId="37" xfId="0" applyFont="1" applyFill="1" applyBorder="1" applyAlignment="1">
      <alignment horizontal="left" vertical="center"/>
    </xf>
    <xf numFmtId="0" fontId="3" fillId="0" borderId="13" xfId="388" applyFont="1" applyBorder="1" applyAlignment="1" applyProtection="1">
      <alignment horizontal="center" vertical="center" textRotation="255" shrinkToFit="1"/>
      <protection locked="0"/>
    </xf>
    <xf numFmtId="0" fontId="3" fillId="0" borderId="14" xfId="388" applyFont="1" applyBorder="1" applyAlignment="1" applyProtection="1">
      <alignment horizontal="center" vertical="center" textRotation="255" shrinkToFit="1"/>
      <protection locked="0"/>
    </xf>
    <xf numFmtId="0" fontId="3" fillId="0" borderId="15" xfId="388" applyFont="1" applyBorder="1" applyAlignment="1" applyProtection="1">
      <alignment horizontal="center" vertical="center" textRotation="255" shrinkToFit="1"/>
      <protection locked="0"/>
    </xf>
    <xf numFmtId="0" fontId="3" fillId="0" borderId="38" xfId="0" applyNumberFormat="1" applyFont="1" applyBorder="1" applyAlignment="1" applyProtection="1">
      <alignment horizontal="left" vertical="center" indent="1"/>
      <protection locked="0"/>
    </xf>
    <xf numFmtId="0" fontId="3" fillId="0" borderId="30" xfId="0" applyNumberFormat="1" applyFont="1" applyBorder="1" applyAlignment="1" applyProtection="1">
      <alignment horizontal="left" vertical="center" indent="1"/>
      <protection locked="0"/>
    </xf>
    <xf numFmtId="0" fontId="3" fillId="0" borderId="14" xfId="388" applyFont="1" applyBorder="1" applyAlignment="1" applyProtection="1">
      <alignment vertical="center" textRotation="255"/>
      <protection locked="0"/>
    </xf>
    <xf numFmtId="0" fontId="3" fillId="0" borderId="15" xfId="388" applyFont="1" applyBorder="1" applyAlignment="1" applyProtection="1">
      <alignment vertical="center" textRotation="255"/>
      <protection locked="0"/>
    </xf>
    <xf numFmtId="0" fontId="3" fillId="0" borderId="13" xfId="388" applyFont="1" applyBorder="1" applyAlignment="1" applyProtection="1">
      <alignment horizontal="center" vertical="center" textRotation="255"/>
      <protection locked="0"/>
    </xf>
    <xf numFmtId="0" fontId="3" fillId="0" borderId="14" xfId="388" applyFont="1" applyBorder="1" applyAlignment="1" applyProtection="1">
      <alignment horizontal="center" vertical="center" textRotation="255"/>
      <protection locked="0"/>
    </xf>
    <xf numFmtId="0" fontId="3" fillId="0" borderId="13" xfId="0" applyNumberFormat="1" applyFont="1" applyBorder="1" applyAlignment="1" applyProtection="1">
      <alignment horizontal="left" indent="1"/>
      <protection locked="0"/>
    </xf>
    <xf numFmtId="0" fontId="3" fillId="0" borderId="38" xfId="0" applyNumberFormat="1" applyFont="1" applyBorder="1" applyAlignment="1" applyProtection="1">
      <alignment horizontal="left" indent="1"/>
      <protection locked="0"/>
    </xf>
    <xf numFmtId="0" fontId="3" fillId="0" borderId="14" xfId="0" applyNumberFormat="1" applyFont="1" applyBorder="1" applyAlignment="1" applyProtection="1">
      <alignment horizontal="left" indent="1"/>
      <protection locked="0"/>
    </xf>
    <xf numFmtId="0" fontId="3" fillId="0" borderId="30" xfId="0" applyNumberFormat="1" applyFont="1" applyBorder="1" applyAlignment="1" applyProtection="1">
      <alignment horizontal="left" indent="1"/>
      <protection locked="0"/>
    </xf>
    <xf numFmtId="0" fontId="3" fillId="0" borderId="14" xfId="388" applyFont="1" applyBorder="1" applyAlignment="1" applyProtection="1">
      <alignment vertical="center" textRotation="255" shrinkToFit="1"/>
      <protection locked="0"/>
    </xf>
  </cellXfs>
  <cellStyles count="391">
    <cellStyle name="（@）" xfId="1"/>
    <cellStyle name="0" xfId="2"/>
    <cellStyle name="0.0" xfId="3"/>
    <cellStyle name="0.00" xfId="4"/>
    <cellStyle name="0.000" xfId="5"/>
    <cellStyle name="0.0000" xfId="6"/>
    <cellStyle name="0_center" xfId="7"/>
    <cellStyle name="0_center__主桁定数" xfId="8"/>
    <cellStyle name="0_center_Book1" xfId="9"/>
    <cellStyle name="0_center_SPACERデータ" xfId="10"/>
    <cellStyle name="0_center_SPACERデータ1" xfId="11"/>
    <cellStyle name="0_center_ｺﾋﾟｰ ～ 横桁の断面定数" xfId="12"/>
    <cellStyle name="0_center_横桁の断面定数" xfId="13"/>
    <cellStyle name="0_center_横桁断面" xfId="14"/>
    <cellStyle name="0_center_荷重" xfId="15"/>
    <cellStyle name="0_center_絵" xfId="16"/>
    <cellStyle name="0_center_橋面荷重" xfId="17"/>
    <cellStyle name="0_center_主桁定数" xfId="18"/>
    <cellStyle name="0_center_断面力データ(主桁)" xfId="19"/>
    <cellStyle name="0_center_中間スラブの設計" xfId="20"/>
    <cellStyle name="1" xfId="21"/>
    <cellStyle name="1/2" xfId="22"/>
    <cellStyle name="1/6" xfId="23"/>
    <cellStyle name="1_01_設計上演" xfId="24"/>
    <cellStyle name="1_土質条件（千葉駅改良）_最終20081214" xfId="25"/>
    <cellStyle name="100" xfId="26"/>
    <cellStyle name="20% - Accent1" xfId="27"/>
    <cellStyle name="20% - Accent2" xfId="28"/>
    <cellStyle name="20% - Accent3" xfId="29"/>
    <cellStyle name="20% - Accent4" xfId="30"/>
    <cellStyle name="20% - Accent5" xfId="31"/>
    <cellStyle name="20% - Accent6" xfId="32"/>
    <cellStyle name="20% - アクセント 1 2" xfId="33"/>
    <cellStyle name="20% - アクセント 1 3" xfId="34"/>
    <cellStyle name="20% - アクセント 1 4" xfId="35"/>
    <cellStyle name="20% - アクセント 2 2" xfId="36"/>
    <cellStyle name="20% - アクセント 2 3" xfId="37"/>
    <cellStyle name="20% - アクセント 2 4" xfId="38"/>
    <cellStyle name="20% - アクセント 3 2" xfId="39"/>
    <cellStyle name="20% - アクセント 3 3" xfId="40"/>
    <cellStyle name="20% - アクセント 3 4" xfId="41"/>
    <cellStyle name="20% - アクセント 4 2" xfId="42"/>
    <cellStyle name="20% - アクセント 4 3" xfId="43"/>
    <cellStyle name="20% - アクセント 4 4" xfId="44"/>
    <cellStyle name="20% - アクセント 5 2" xfId="45"/>
    <cellStyle name="20% - アクセント 5 3" xfId="46"/>
    <cellStyle name="20% - アクセント 5 4" xfId="47"/>
    <cellStyle name="20% - アクセント 6 2" xfId="48"/>
    <cellStyle name="20% - アクセント 6 3" xfId="49"/>
    <cellStyle name="20% - アクセント 6 4" xfId="50"/>
    <cellStyle name="40% - Accent1" xfId="51"/>
    <cellStyle name="40% - Accent2" xfId="52"/>
    <cellStyle name="40% - Accent3" xfId="53"/>
    <cellStyle name="40% - Accent4" xfId="54"/>
    <cellStyle name="40% - Accent5" xfId="55"/>
    <cellStyle name="40% - Accent6" xfId="56"/>
    <cellStyle name="40% - アクセント 1 2" xfId="57"/>
    <cellStyle name="40% - アクセント 1 3" xfId="58"/>
    <cellStyle name="40% - アクセント 1 4" xfId="59"/>
    <cellStyle name="40% - アクセント 2 2" xfId="60"/>
    <cellStyle name="40% - アクセント 2 3" xfId="61"/>
    <cellStyle name="40% - アクセント 2 4" xfId="62"/>
    <cellStyle name="40% - アクセント 3 2" xfId="63"/>
    <cellStyle name="40% - アクセント 3 3" xfId="64"/>
    <cellStyle name="40% - アクセント 3 4" xfId="65"/>
    <cellStyle name="40% - アクセント 4 2" xfId="66"/>
    <cellStyle name="40% - アクセント 4 3" xfId="67"/>
    <cellStyle name="40% - アクセント 4 4" xfId="68"/>
    <cellStyle name="40% - アクセント 5 2" xfId="69"/>
    <cellStyle name="40% - アクセント 5 3" xfId="70"/>
    <cellStyle name="40% - アクセント 5 4" xfId="71"/>
    <cellStyle name="40% - アクセント 6 2" xfId="72"/>
    <cellStyle name="40% - アクセント 6 3" xfId="73"/>
    <cellStyle name="40% - アクセント 6 4" xfId="74"/>
    <cellStyle name="60% - Accent1" xfId="75"/>
    <cellStyle name="60% - Accent2" xfId="76"/>
    <cellStyle name="60% - Accent3" xfId="77"/>
    <cellStyle name="60% - Accent4" xfId="78"/>
    <cellStyle name="60% - Accent5" xfId="79"/>
    <cellStyle name="60% - Accent6" xfId="80"/>
    <cellStyle name="60% - アクセント 1 2" xfId="81"/>
    <cellStyle name="60% - アクセント 1 3" xfId="82"/>
    <cellStyle name="60% - アクセント 1 4" xfId="83"/>
    <cellStyle name="60% - アクセント 2 2" xfId="84"/>
    <cellStyle name="60% - アクセント 2 3" xfId="85"/>
    <cellStyle name="60% - アクセント 2 4" xfId="86"/>
    <cellStyle name="60% - アクセント 3 2" xfId="87"/>
    <cellStyle name="60% - アクセント 3 3" xfId="88"/>
    <cellStyle name="60% - アクセント 3 4" xfId="89"/>
    <cellStyle name="60% - アクセント 4 2" xfId="90"/>
    <cellStyle name="60% - アクセント 4 3" xfId="91"/>
    <cellStyle name="60% - アクセント 4 4" xfId="92"/>
    <cellStyle name="60% - アクセント 5 2" xfId="93"/>
    <cellStyle name="60% - アクセント 5 3" xfId="94"/>
    <cellStyle name="60% - アクセント 5 4" xfId="95"/>
    <cellStyle name="60% - アクセント 6 2" xfId="96"/>
    <cellStyle name="60% - アクセント 6 3" xfId="97"/>
    <cellStyle name="60% - アクセント 6 4" xfId="98"/>
    <cellStyle name="Accent1" xfId="99"/>
    <cellStyle name="Accent2" xfId="100"/>
    <cellStyle name="Accent3" xfId="101"/>
    <cellStyle name="Accent4" xfId="102"/>
    <cellStyle name="Accent5" xfId="103"/>
    <cellStyle name="Accent6" xfId="104"/>
    <cellStyle name="Bad" xfId="105"/>
    <cellStyle name="Calc Currency (0)" xfId="106"/>
    <cellStyle name="Calculation" xfId="107"/>
    <cellStyle name="Check Cell" xfId="108"/>
    <cellStyle name="entry" xfId="109"/>
    <cellStyle name="Explanatory Text" xfId="110"/>
    <cellStyle name="Good" xfId="111"/>
    <cellStyle name="Header1" xfId="112"/>
    <cellStyle name="Header2" xfId="113"/>
    <cellStyle name="Heading 1" xfId="114"/>
    <cellStyle name="Heading 2" xfId="115"/>
    <cellStyle name="Heading 3" xfId="116"/>
    <cellStyle name="Heading 4" xfId="117"/>
    <cellStyle name="Input" xfId="118"/>
    <cellStyle name="ISO-001" xfId="119"/>
    <cellStyle name="ＪＲ書式" xfId="120"/>
    <cellStyle name="Linked Cell" xfId="121"/>
    <cellStyle name="ＭＳ明朝" xfId="122"/>
    <cellStyle name="Neutral" xfId="123"/>
    <cellStyle name="no dec" xfId="124"/>
    <cellStyle name="Normal_#18-Internet" xfId="125"/>
    <cellStyle name="Note" xfId="126"/>
    <cellStyle name="Output" xfId="127"/>
    <cellStyle name="price" xfId="128"/>
    <cellStyle name="revised" xfId="129"/>
    <cellStyle name="section" xfId="130"/>
    <cellStyle name="subhead" xfId="131"/>
    <cellStyle name="Title" xfId="132"/>
    <cellStyle name="Total" xfId="133"/>
    <cellStyle name="TSUIKA" xfId="134"/>
    <cellStyle name="User_style_断面常数計算" xfId="135"/>
    <cellStyle name="Warning Text" xfId="136"/>
    <cellStyle name="φ" xfId="137"/>
    <cellStyle name="φ_007_断面照査" xfId="138"/>
    <cellStyle name="φ_3_地震時_下部工" xfId="139"/>
    <cellStyle name="φ_G_A4_Nv1" xfId="140"/>
    <cellStyle name="φ_G_A4_Nv1_§10-4応力算出、10-5基本荷重L2(2411-2)（常時）" xfId="141"/>
    <cellStyle name="φ_G_A4_Nv1_§10-4応力算出、10-5基本荷重L2(2411-2)（常時）_007_断面照査" xfId="142"/>
    <cellStyle name="φ_G_A4_Nv1_§10-4応力算出、10-5基本荷重L2(2411-2)（常時）_3_地震時_下部工" xfId="143"/>
    <cellStyle name="φ_G_A4_Nv1_§12.線路直角方向C1(2411-2)" xfId="144"/>
    <cellStyle name="φ_G_A4_Nv1_§12.線路直角方向C1(2411-2)_007_断面照査" xfId="145"/>
    <cellStyle name="φ_G_A4_Nv1_§12.線路直角方向C1(2411-2)_3_地震時_下部工" xfId="146"/>
    <cellStyle name="φ_G_A4_Nv1_§7.ねじりﾓｰﾒﾝﾄの計算C1(2411-2)" xfId="147"/>
    <cellStyle name="φ_G_A4_Nv1_§7.ねじりﾓｰﾒﾝﾄの計算C1(2411-2)_007_断面照査" xfId="148"/>
    <cellStyle name="φ_G_A4_Nv1_§7.ねじりﾓｰﾒﾝﾄの計算C1(2411-2)_3_地震時_下部工" xfId="149"/>
    <cellStyle name="φ_G_A4_Nv1_§9.各柱軸力の計算(2411-2)" xfId="150"/>
    <cellStyle name="φ_G_A4_Nv1_§9.各柱軸力の計算(2411-2)_007_断面照査" xfId="151"/>
    <cellStyle name="φ_G_A4_Nv1_§9.各柱軸力の計算(2411-2)_3_地震時_下部工" xfId="152"/>
    <cellStyle name="φ_G_A4_Nv1_§9.線路方向L2(2411-2)" xfId="153"/>
    <cellStyle name="φ_G_A4_Nv1_§9.線路方向L2(2411-2)_007_断面照査" xfId="154"/>
    <cellStyle name="φ_G_A4_Nv1_§9.線路方向L2(2411-2)_3_地震時_下部工" xfId="155"/>
    <cellStyle name="φ_G_A4_Nv1_007_断面照査" xfId="156"/>
    <cellStyle name="φ_G_A4_Nv1_3_地震時_下部工" xfId="157"/>
    <cellStyle name="φ_G_A4_Nv1_限界状態照査" xfId="158"/>
    <cellStyle name="φ_G_A4_Nv1_限界状態照査_007_断面照査" xfId="159"/>
    <cellStyle name="φ_G_A4_Nv1_限界状態照査_3_地震時_下部工" xfId="160"/>
    <cellStyle name="φ_荷重" xfId="161"/>
    <cellStyle name="φ_荷重_§10-4応力算出、10-5基本荷重L2(2411-2)（常時）" xfId="162"/>
    <cellStyle name="φ_荷重_§10-4応力算出、10-5基本荷重L2(2411-2)（常時）_007_断面照査" xfId="163"/>
    <cellStyle name="φ_荷重_§10-4応力算出、10-5基本荷重L2(2411-2)（常時）_3_地震時_下部工" xfId="164"/>
    <cellStyle name="φ_荷重_§12.線路直角方向C1(2411-2)" xfId="165"/>
    <cellStyle name="φ_荷重_§12.線路直角方向C1(2411-2)_007_断面照査" xfId="166"/>
    <cellStyle name="φ_荷重_§12.線路直角方向C1(2411-2)_3_地震時_下部工" xfId="167"/>
    <cellStyle name="φ_荷重_§7.ねじりﾓｰﾒﾝﾄの計算C1(2411-2)" xfId="168"/>
    <cellStyle name="φ_荷重_§7.ねじりﾓｰﾒﾝﾄの計算C1(2411-2)_007_断面照査" xfId="169"/>
    <cellStyle name="φ_荷重_§7.ねじりﾓｰﾒﾝﾄの計算C1(2411-2)_3_地震時_下部工" xfId="170"/>
    <cellStyle name="φ_荷重_§9.各柱軸力の計算(2411-2)" xfId="171"/>
    <cellStyle name="φ_荷重_§9.各柱軸力の計算(2411-2)_007_断面照査" xfId="172"/>
    <cellStyle name="φ_荷重_§9.各柱軸力の計算(2411-2)_3_地震時_下部工" xfId="173"/>
    <cellStyle name="φ_荷重_§9.線路方向L2(2411-2)" xfId="174"/>
    <cellStyle name="φ_荷重_§9.線路方向L2(2411-2)_007_断面照査" xfId="175"/>
    <cellStyle name="φ_荷重_§9.線路方向L2(2411-2)_3_地震時_下部工" xfId="176"/>
    <cellStyle name="φ_荷重_007_断面照査" xfId="177"/>
    <cellStyle name="φ_荷重_3_地震時_下部工" xfId="178"/>
    <cellStyle name="φ_荷重_限界状態照査" xfId="179"/>
    <cellStyle name="φ_荷重_限界状態照査_007_断面照査" xfId="180"/>
    <cellStyle name="φ_荷重_限界状態照査_3_地震時_下部工" xfId="181"/>
    <cellStyle name="φ_断面緒元" xfId="182"/>
    <cellStyle name="φ_断面緒元_§10-4応力算出、10-5基本荷重L2(2411-2)（常時）" xfId="183"/>
    <cellStyle name="φ_断面緒元_§10-4応力算出、10-5基本荷重L2(2411-2)（常時）_007_断面照査" xfId="184"/>
    <cellStyle name="φ_断面緒元_§10-4応力算出、10-5基本荷重L2(2411-2)（常時）_3_地震時_下部工" xfId="185"/>
    <cellStyle name="φ_断面緒元_§12.線路直角方向C1(2411-2)" xfId="186"/>
    <cellStyle name="φ_断面緒元_§12.線路直角方向C1(2411-2)_007_断面照査" xfId="187"/>
    <cellStyle name="φ_断面緒元_§12.線路直角方向C1(2411-2)_3_地震時_下部工" xfId="188"/>
    <cellStyle name="φ_断面緒元_§7.ねじりﾓｰﾒﾝﾄの計算C1(2411-2)" xfId="189"/>
    <cellStyle name="φ_断面緒元_§7.ねじりﾓｰﾒﾝﾄの計算C1(2411-2)_007_断面照査" xfId="190"/>
    <cellStyle name="φ_断面緒元_§7.ねじりﾓｰﾒﾝﾄの計算C1(2411-2)_3_地震時_下部工" xfId="191"/>
    <cellStyle name="φ_断面緒元_§9.各柱軸力の計算(2411-2)" xfId="192"/>
    <cellStyle name="φ_断面緒元_§9.各柱軸力の計算(2411-2)_007_断面照査" xfId="193"/>
    <cellStyle name="φ_断面緒元_§9.各柱軸力の計算(2411-2)_3_地震時_下部工" xfId="194"/>
    <cellStyle name="φ_断面緒元_§9.線路方向L2(2411-2)" xfId="195"/>
    <cellStyle name="φ_断面緒元_§9.線路方向L2(2411-2)_007_断面照査" xfId="196"/>
    <cellStyle name="φ_断面緒元_§9.線路方向L2(2411-2)_3_地震時_下部工" xfId="197"/>
    <cellStyle name="φ_断面緒元_007_断面照査" xfId="198"/>
    <cellStyle name="φ_断面緒元_3_地震時_下部工" xfId="199"/>
    <cellStyle name="φ_断面緒元_限界状態照査" xfId="200"/>
    <cellStyle name="φ_断面緒元_限界状態照査_007_断面照査" xfId="201"/>
    <cellStyle name="φ_断面緒元_限界状態照査_3_地震時_下部工" xfId="202"/>
    <cellStyle name="φ_断面常数計算" xfId="203"/>
    <cellStyle name="φ_断面常数計算_§10-4応力算出、10-5基本荷重L2(2411-2)（常時）" xfId="204"/>
    <cellStyle name="φ_断面常数計算_§10-4応力算出、10-5基本荷重L2(2411-2)（常時）_007_断面照査" xfId="205"/>
    <cellStyle name="φ_断面常数計算_§10-4応力算出、10-5基本荷重L2(2411-2)（常時）_3_地震時_下部工" xfId="206"/>
    <cellStyle name="φ_断面常数計算_§12.線路直角方向C1(2411-2)" xfId="207"/>
    <cellStyle name="φ_断面常数計算_§12.線路直角方向C1(2411-2)_007_断面照査" xfId="208"/>
    <cellStyle name="φ_断面常数計算_§12.線路直角方向C1(2411-2)_3_地震時_下部工" xfId="209"/>
    <cellStyle name="φ_断面常数計算_§7.ねじりﾓｰﾒﾝﾄの計算C1(2411-2)" xfId="210"/>
    <cellStyle name="φ_断面常数計算_§7.ねじりﾓｰﾒﾝﾄの計算C1(2411-2)_007_断面照査" xfId="211"/>
    <cellStyle name="φ_断面常数計算_§7.ねじりﾓｰﾒﾝﾄの計算C1(2411-2)_3_地震時_下部工" xfId="212"/>
    <cellStyle name="φ_断面常数計算_§9.各柱軸力の計算(2411-2)" xfId="213"/>
    <cellStyle name="φ_断面常数計算_§9.各柱軸力の計算(2411-2)_007_断面照査" xfId="214"/>
    <cellStyle name="φ_断面常数計算_§9.各柱軸力の計算(2411-2)_3_地震時_下部工" xfId="215"/>
    <cellStyle name="φ_断面常数計算_§9.線路方向L2(2411-2)" xfId="216"/>
    <cellStyle name="φ_断面常数計算_§9.線路方向L2(2411-2)_007_断面照査" xfId="217"/>
    <cellStyle name="φ_断面常数計算_§9.線路方向L2(2411-2)_3_地震時_下部工" xfId="218"/>
    <cellStyle name="φ_断面常数計算_007_断面照査" xfId="219"/>
    <cellStyle name="φ_断面常数計算_3_地震時_下部工" xfId="220"/>
    <cellStyle name="φ_断面常数計算_限界状態照査" xfId="221"/>
    <cellStyle name="φ_断面常数計算_限界状態照査_007_断面照査" xfId="222"/>
    <cellStyle name="φ_断面常数計算_限界状態照査_3_地震時_下部工" xfId="223"/>
    <cellStyle name="φ_断面定数計算1" xfId="224"/>
    <cellStyle name="φ_断面定数計算1_§10-4応力算出、10-5基本荷重L2(2411-2)（常時）" xfId="225"/>
    <cellStyle name="φ_断面定数計算1_§10-4応力算出、10-5基本荷重L2(2411-2)（常時）_007_断面照査" xfId="226"/>
    <cellStyle name="φ_断面定数計算1_§10-4応力算出、10-5基本荷重L2(2411-2)（常時）_3_地震時_下部工" xfId="227"/>
    <cellStyle name="φ_断面定数計算1_§12.線路直角方向C1(2411-2)" xfId="228"/>
    <cellStyle name="φ_断面定数計算1_§12.線路直角方向C1(2411-2)_007_断面照査" xfId="229"/>
    <cellStyle name="φ_断面定数計算1_§12.線路直角方向C1(2411-2)_3_地震時_下部工" xfId="230"/>
    <cellStyle name="φ_断面定数計算1_§7.ねじりﾓｰﾒﾝﾄの計算C1(2411-2)" xfId="231"/>
    <cellStyle name="φ_断面定数計算1_§7.ねじりﾓｰﾒﾝﾄの計算C1(2411-2)_007_断面照査" xfId="232"/>
    <cellStyle name="φ_断面定数計算1_§7.ねじりﾓｰﾒﾝﾄの計算C1(2411-2)_3_地震時_下部工" xfId="233"/>
    <cellStyle name="φ_断面定数計算1_§9.各柱軸力の計算(2411-2)" xfId="234"/>
    <cellStyle name="φ_断面定数計算1_§9.各柱軸力の計算(2411-2)_007_断面照査" xfId="235"/>
    <cellStyle name="φ_断面定数計算1_§9.各柱軸力の計算(2411-2)_3_地震時_下部工" xfId="236"/>
    <cellStyle name="φ_断面定数計算1_§9.線路方向L2(2411-2)" xfId="237"/>
    <cellStyle name="φ_断面定数計算1_§9.線路方向L2(2411-2)_007_断面照査" xfId="238"/>
    <cellStyle name="φ_断面定数計算1_§9.線路方向L2(2411-2)_3_地震時_下部工" xfId="239"/>
    <cellStyle name="φ_断面定数計算1_007_断面照査" xfId="240"/>
    <cellStyle name="φ_断面定数計算1_3_地震時_下部工" xfId="241"/>
    <cellStyle name="φ_断面定数計算1_限界状態照査" xfId="242"/>
    <cellStyle name="φ_断面定数計算1_限界状態照査_007_断面照査" xfId="243"/>
    <cellStyle name="φ_断面定数計算1_限界状態照査_3_地震時_下部工" xfId="244"/>
    <cellStyle name="アクセント 1 2" xfId="245"/>
    <cellStyle name="アクセント 1 3" xfId="246"/>
    <cellStyle name="アクセント 1 4" xfId="247"/>
    <cellStyle name="アクセント 2 2" xfId="248"/>
    <cellStyle name="アクセント 2 3" xfId="249"/>
    <cellStyle name="アクセント 2 4" xfId="250"/>
    <cellStyle name="アクセント 3 2" xfId="251"/>
    <cellStyle name="アクセント 3 3" xfId="252"/>
    <cellStyle name="アクセント 3 4" xfId="253"/>
    <cellStyle name="アクセント 4 2" xfId="254"/>
    <cellStyle name="アクセント 4 3" xfId="255"/>
    <cellStyle name="アクセント 4 4" xfId="256"/>
    <cellStyle name="アクセント 5 2" xfId="257"/>
    <cellStyle name="アクセント 5 3" xfId="258"/>
    <cellStyle name="アクセント 5 4" xfId="259"/>
    <cellStyle name="アクセント 6 2" xfId="260"/>
    <cellStyle name="アクセント 6 3" xfId="261"/>
    <cellStyle name="アクセント 6 4" xfId="262"/>
    <cellStyle name="タイトル 2" xfId="263"/>
    <cellStyle name="タイトル 3" xfId="264"/>
    <cellStyle name="タイトル 4" xfId="265"/>
    <cellStyle name="チェック セル 2" xfId="266"/>
    <cellStyle name="チェック セル 3" xfId="267"/>
    <cellStyle name="チェック セル 4" xfId="268"/>
    <cellStyle name="どちらでもない 2" xfId="269"/>
    <cellStyle name="どちらでもない 3" xfId="270"/>
    <cellStyle name="どちらでもない 4" xfId="271"/>
    <cellStyle name="ハイパーリンク" xfId="272" builtinId="8"/>
    <cellStyle name="メモ 2" xfId="273"/>
    <cellStyle name="メモ 3" xfId="274"/>
    <cellStyle name="メモ 4" xfId="275"/>
    <cellStyle name="リンク セル 2" xfId="276"/>
    <cellStyle name="リンク セル 3" xfId="277"/>
    <cellStyle name="リンク セル 4" xfId="278"/>
    <cellStyle name="悪い 2" xfId="279"/>
    <cellStyle name="悪い 3" xfId="280"/>
    <cellStyle name="悪い 4" xfId="281"/>
    <cellStyle name="下付" xfId="282"/>
    <cellStyle name="企画-01" xfId="283"/>
    <cellStyle name="径" xfId="284"/>
    <cellStyle name="径_§10-4応力算出、10-5基本荷重L2(2411-2)（常時）" xfId="285"/>
    <cellStyle name="径_§10-4応力算出、10-5基本荷重L2(2411-2)（常時）_007_断面照査" xfId="286"/>
    <cellStyle name="径_§10-4応力算出、10-5基本荷重L2(2411-2)（常時）_3_地震時_下部工" xfId="287"/>
    <cellStyle name="径_§12.線路直角方向C1(2411-2)" xfId="288"/>
    <cellStyle name="径_§12.線路直角方向C1(2411-2)_007_断面照査" xfId="289"/>
    <cellStyle name="径_§12.線路直角方向C1(2411-2)_3_地震時_下部工" xfId="290"/>
    <cellStyle name="径_§7.ねじりﾓｰﾒﾝﾄの計算C1(2411-2)" xfId="291"/>
    <cellStyle name="径_§7.ねじりﾓｰﾒﾝﾄの計算C1(2411-2)_007_断面照査" xfId="292"/>
    <cellStyle name="径_§7.ねじりﾓｰﾒﾝﾄの計算C1(2411-2)_3_地震時_下部工" xfId="293"/>
    <cellStyle name="径_§9.各柱軸力の計算(2411-2)" xfId="294"/>
    <cellStyle name="径_§9.各柱軸力の計算(2411-2)_007_断面照査" xfId="295"/>
    <cellStyle name="径_§9.各柱軸力の計算(2411-2)_3_地震時_下部工" xfId="296"/>
    <cellStyle name="径_§9.線路方向L2(2411-2)" xfId="297"/>
    <cellStyle name="径_§9.線路方向L2(2411-2)_007_断面照査" xfId="298"/>
    <cellStyle name="径_§9.線路方向L2(2411-2)_3_地震時_下部工" xfId="299"/>
    <cellStyle name="径_007_断面照査" xfId="300"/>
    <cellStyle name="径_3_地震時_下部工" xfId="301"/>
    <cellStyle name="径_計算書" xfId="302"/>
    <cellStyle name="径_計算書_§10-4応力算出、10-5基本荷重L2(2411-2)（常時）" xfId="303"/>
    <cellStyle name="径_計算書_§10-4応力算出、10-5基本荷重L2(2411-2)（常時）_007_断面照査" xfId="304"/>
    <cellStyle name="径_計算書_§10-4応力算出、10-5基本荷重L2(2411-2)（常時）_3_地震時_下部工" xfId="305"/>
    <cellStyle name="径_計算書_§12.線路直角方向C1(2411-2)" xfId="306"/>
    <cellStyle name="径_計算書_§12.線路直角方向C1(2411-2)_007_断面照査" xfId="307"/>
    <cellStyle name="径_計算書_§12.線路直角方向C1(2411-2)_3_地震時_下部工" xfId="308"/>
    <cellStyle name="径_計算書_§7.ねじりﾓｰﾒﾝﾄの計算C1(2411-2)" xfId="309"/>
    <cellStyle name="径_計算書_§7.ねじりﾓｰﾒﾝﾄの計算C1(2411-2)_007_断面照査" xfId="310"/>
    <cellStyle name="径_計算書_§7.ねじりﾓｰﾒﾝﾄの計算C1(2411-2)_3_地震時_下部工" xfId="311"/>
    <cellStyle name="径_計算書_§9.各柱軸力の計算(2411-2)" xfId="312"/>
    <cellStyle name="径_計算書_§9.各柱軸力の計算(2411-2)_007_断面照査" xfId="313"/>
    <cellStyle name="径_計算書_§9.各柱軸力の計算(2411-2)_3_地震時_下部工" xfId="314"/>
    <cellStyle name="径_計算書_§9.線路方向L2(2411-2)" xfId="315"/>
    <cellStyle name="径_計算書_§9.線路方向L2(2411-2)_007_断面照査" xfId="316"/>
    <cellStyle name="径_計算書_§9.線路方向L2(2411-2)_3_地震時_下部工" xfId="317"/>
    <cellStyle name="径_計算書_007_断面照査" xfId="318"/>
    <cellStyle name="径_計算書_3_地震時_下部工" xfId="319"/>
    <cellStyle name="径_計算書_限界状態照査" xfId="320"/>
    <cellStyle name="径_計算書_限界状態照査_007_断面照査" xfId="321"/>
    <cellStyle name="径_計算書_限界状態照査_3_地震時_下部工" xfId="322"/>
    <cellStyle name="径_限界状態照査" xfId="323"/>
    <cellStyle name="径_限界状態照査_007_断面照査" xfId="324"/>
    <cellStyle name="径_限界状態照査_3_地震時_下部工" xfId="325"/>
    <cellStyle name="計算 2" xfId="326"/>
    <cellStyle name="計算 3" xfId="327"/>
    <cellStyle name="計算 4" xfId="328"/>
    <cellStyle name="警告文 2" xfId="329"/>
    <cellStyle name="警告文 3" xfId="330"/>
    <cellStyle name="警告文 4" xfId="331"/>
    <cellStyle name="桁区切り [0.000]" xfId="332"/>
    <cellStyle name="桁区切り 2" xfId="333"/>
    <cellStyle name="見出し 1 2" xfId="334"/>
    <cellStyle name="見出し 1 3" xfId="335"/>
    <cellStyle name="見出し 1 4" xfId="336"/>
    <cellStyle name="見出し 2 2" xfId="337"/>
    <cellStyle name="見出し 2 3" xfId="338"/>
    <cellStyle name="見出し 2 4" xfId="339"/>
    <cellStyle name="見出し 3 2" xfId="340"/>
    <cellStyle name="見出し 3 3" xfId="341"/>
    <cellStyle name="見出し 3 4" xfId="342"/>
    <cellStyle name="見出し 4 2" xfId="343"/>
    <cellStyle name="見出し 4 3" xfId="344"/>
    <cellStyle name="見出し 4 4" xfId="345"/>
    <cellStyle name="佐々木用" xfId="346"/>
    <cellStyle name="左詰（ｲﾝﾃﾞﾝﾄ1）" xfId="347"/>
    <cellStyle name="指数" xfId="348"/>
    <cellStyle name="集計 2" xfId="349"/>
    <cellStyle name="集計 3" xfId="350"/>
    <cellStyle name="集計 4" xfId="351"/>
    <cellStyle name="縦書き中央" xfId="352"/>
    <cellStyle name="縦中央" xfId="353"/>
    <cellStyle name="縮小" xfId="354"/>
    <cellStyle name="出力 2" xfId="355"/>
    <cellStyle name="出力 3" xfId="356"/>
    <cellStyle name="出力 4" xfId="357"/>
    <cellStyle name="上付" xfId="358"/>
    <cellStyle name="設計計算" xfId="359"/>
    <cellStyle name="説明文 2" xfId="360"/>
    <cellStyle name="説明文 3" xfId="361"/>
    <cellStyle name="説明文 4" xfId="362"/>
    <cellStyle name="通貨 [0.000]" xfId="363"/>
    <cellStyle name="鉄筋径" xfId="364"/>
    <cellStyle name="入力 2" xfId="365"/>
    <cellStyle name="入力 3" xfId="366"/>
    <cellStyle name="入力 4" xfId="367"/>
    <cellStyle name="範囲内縦横中央" xfId="368"/>
    <cellStyle name="範囲内中央" xfId="369"/>
    <cellStyle name="標準" xfId="0" builtinId="0"/>
    <cellStyle name="標準 2" xfId="370"/>
    <cellStyle name="標準 2 2" xfId="371"/>
    <cellStyle name="標準 2_§6.地震時" xfId="372"/>
    <cellStyle name="標準 3" xfId="373"/>
    <cellStyle name="標準 3 2" xfId="374"/>
    <cellStyle name="標準 4" xfId="375"/>
    <cellStyle name="標準 5" xfId="376"/>
    <cellStyle name="標準 7" xfId="390"/>
    <cellStyle name="標準_§08.線路方向L1の計算（耐震以外）" xfId="387"/>
    <cellStyle name="標準_600_断面性照査" xfId="377"/>
    <cellStyle name="標準_Ｒ９横小ばり" xfId="389"/>
    <cellStyle name="標準_照査L1" xfId="386"/>
    <cellStyle name="標準_電柱受け梁_ねじり" xfId="388"/>
    <cellStyle name="標準1" xfId="378"/>
    <cellStyle name="標準１" xfId="379"/>
    <cellStyle name="標準A4計算書" xfId="380"/>
    <cellStyle name="分数" xfId="381"/>
    <cellStyle name="未定義" xfId="382"/>
    <cellStyle name="良い 2" xfId="383"/>
    <cellStyle name="良い 3" xfId="384"/>
    <cellStyle name="良い 4" xfId="385"/>
  </cellStyles>
  <dxfs count="2">
    <dxf>
      <fill>
        <patternFill>
          <bgColor indexed="13"/>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5" Type="http://schemas.openxmlformats.org/officeDocument/2006/relationships/image" Target="../media/image8.jpeg"/><Relationship Id="rId4"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895350</xdr:colOff>
          <xdr:row>38</xdr:row>
          <xdr:rowOff>95250</xdr:rowOff>
        </xdr:from>
        <xdr:to>
          <xdr:col>8</xdr:col>
          <xdr:colOff>752475</xdr:colOff>
          <xdr:row>63</xdr:row>
          <xdr:rowOff>76200</xdr:rowOff>
        </xdr:to>
        <xdr:sp macro="" textlink="">
          <xdr:nvSpPr>
            <xdr:cNvPr id="10242" name="Object 2" hidden="1">
              <a:extLst>
                <a:ext uri="{63B3BB69-23CF-44E3-9099-C40C66FF867C}">
                  <a14:compatExt spid="_x0000_s102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47625</xdr:colOff>
      <xdr:row>75</xdr:row>
      <xdr:rowOff>85725</xdr:rowOff>
    </xdr:from>
    <xdr:to>
      <xdr:col>13</xdr:col>
      <xdr:colOff>266700</xdr:colOff>
      <xdr:row>91</xdr:row>
      <xdr:rowOff>66675</xdr:rowOff>
    </xdr:to>
    <xdr:grpSp>
      <xdr:nvGrpSpPr>
        <xdr:cNvPr id="13064" name="Group 55"/>
        <xdr:cNvGrpSpPr>
          <a:grpSpLocks/>
        </xdr:cNvGrpSpPr>
      </xdr:nvGrpSpPr>
      <xdr:grpSpPr bwMode="auto">
        <a:xfrm>
          <a:off x="316566" y="13577607"/>
          <a:ext cx="11514605" cy="2849656"/>
          <a:chOff x="33" y="1425"/>
          <a:chExt cx="1209" cy="300"/>
        </a:xfrm>
      </xdr:grpSpPr>
      <xdr:pic>
        <xdr:nvPicPr>
          <xdr:cNvPr id="13098" name="Picture 5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6" y="1518"/>
            <a:ext cx="366" cy="194"/>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pic>
        <xdr:nvPicPr>
          <xdr:cNvPr id="13099" name="Picture 47"/>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28206" t="10243" r="7265" b="9268"/>
          <a:stretch>
            <a:fillRect/>
          </a:stretch>
        </xdr:blipFill>
        <xdr:spPr bwMode="auto">
          <a:xfrm>
            <a:off x="378" y="1560"/>
            <a:ext cx="151" cy="16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sp macro="" textlink="">
        <xdr:nvSpPr>
          <xdr:cNvPr id="13100" name="Arc 24"/>
          <xdr:cNvSpPr>
            <a:spLocks/>
          </xdr:cNvSpPr>
        </xdr:nvSpPr>
        <xdr:spPr bwMode="auto">
          <a:xfrm>
            <a:off x="326" y="1496"/>
            <a:ext cx="382"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3101" name="Arc 26"/>
          <xdr:cNvSpPr>
            <a:spLocks/>
          </xdr:cNvSpPr>
        </xdr:nvSpPr>
        <xdr:spPr bwMode="auto">
          <a:xfrm flipH="1">
            <a:off x="327" y="1540"/>
            <a:ext cx="377" cy="23"/>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Lst>
            <a:ahLst/>
            <a:cxnLst>
              <a:cxn ang="T6">
                <a:pos x="T0" y="T1"/>
              </a:cxn>
              <a:cxn ang="T7">
                <a:pos x="T2" y="T3"/>
              </a:cxn>
              <a:cxn ang="T8">
                <a:pos x="T4" y="T5"/>
              </a:cxn>
            </a:cxnLst>
            <a:rect l="0" t="0" r="r" b="b"/>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sp macro="" textlink="">
        <xdr:nvSpPr>
          <xdr:cNvPr id="10270" name="Text Box 30"/>
          <xdr:cNvSpPr txBox="1">
            <a:spLocks noChangeArrowheads="1"/>
          </xdr:cNvSpPr>
        </xdr:nvSpPr>
        <xdr:spPr bwMode="auto">
          <a:xfrm>
            <a:off x="345" y="1457"/>
            <a:ext cx="9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POST</a:t>
            </a:r>
          </a:p>
          <a:p>
            <a:pPr algn="l" rtl="0">
              <a:lnSpc>
                <a:spcPts val="1100"/>
              </a:lnSpc>
              <a:defRPr sz="1000"/>
            </a:pPr>
            <a:r>
              <a:rPr lang="ja-JP" altLang="en-US" sz="1000" b="0" i="0" u="none" strike="noStrike" baseline="0">
                <a:solidFill>
                  <a:srgbClr val="000000"/>
                </a:solidFill>
                <a:latin typeface="ＭＳ Ｐゴシック"/>
                <a:ea typeface="ＭＳ Ｐゴシック"/>
              </a:rPr>
              <a:t>data: 断面データ</a:t>
            </a:r>
          </a:p>
        </xdr:txBody>
      </xdr:sp>
      <xdr:sp macro="" textlink="">
        <xdr:nvSpPr>
          <xdr:cNvPr id="10272" name="Text Box 32"/>
          <xdr:cNvSpPr txBox="1">
            <a:spLocks noChangeArrowheads="1"/>
          </xdr:cNvSpPr>
        </xdr:nvSpPr>
        <xdr:spPr bwMode="auto">
          <a:xfrm>
            <a:off x="138" y="1425"/>
            <a:ext cx="51"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ユーザー</a:t>
            </a:r>
          </a:p>
        </xdr:txBody>
      </xdr:sp>
      <xdr:pic>
        <xdr:nvPicPr>
          <xdr:cNvPr id="13104" name="Picture 34" descr="「サーバー」の画像検索結果"/>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7" y="1459"/>
            <a:ext cx="246" cy="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5" name="Picture 35" descr="「インターネット」の画像検索結果"/>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4" y="1463"/>
            <a:ext cx="129" cy="1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106" name="Picture 43" descr="「excel」の画像検索結果"/>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3" y="1464"/>
            <a:ext cx="284" cy="19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285" name="Text Box 45"/>
          <xdr:cNvSpPr txBox="1">
            <a:spLocks noChangeArrowheads="1"/>
          </xdr:cNvSpPr>
        </xdr:nvSpPr>
        <xdr:spPr bwMode="auto">
          <a:xfrm>
            <a:off x="626" y="1425"/>
            <a:ext cx="337"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18288" bIns="0" anchor="t" upright="1">
            <a:spAutoFit/>
          </a:bodyPr>
          <a:lstStyle/>
          <a:p>
            <a:pPr algn="ctr" rtl="0">
              <a:lnSpc>
                <a:spcPts val="1200"/>
              </a:lnSpc>
              <a:defRPr sz="1000"/>
            </a:pPr>
            <a:r>
              <a:rPr lang="ja-JP" altLang="en-US" sz="1000" b="0" i="0" u="none" strike="noStrike" baseline="0">
                <a:solidFill>
                  <a:srgbClr val="000000"/>
                </a:solidFill>
                <a:latin typeface="ＭＳ Ｐゴシック"/>
                <a:ea typeface="ＭＳ Ｐゴシック"/>
              </a:rPr>
              <a:t>サーバー</a:t>
            </a:r>
          </a:p>
          <a:p>
            <a:pPr algn="ctr" rtl="0">
              <a:lnSpc>
                <a:spcPts val="1100"/>
              </a:lnSpc>
              <a:defRPr sz="1000"/>
            </a:pPr>
            <a:r>
              <a:rPr lang="ja-JP" altLang="en-US" sz="1000" b="0" i="0" u="none" strike="noStrike" baseline="0">
                <a:solidFill>
                  <a:srgbClr val="000000"/>
                </a:solidFill>
                <a:latin typeface="ＭＳ Ｐゴシック"/>
                <a:ea typeface="ＭＳ Ｐゴシック"/>
              </a:rPr>
              <a:t>http://www.structuralengine.com/RCnonlinear/api/values/</a:t>
            </a:r>
          </a:p>
        </xdr:txBody>
      </xdr:sp>
      <xdr:sp macro="" textlink="">
        <xdr:nvSpPr>
          <xdr:cNvPr id="10288" name="Text Box 48"/>
          <xdr:cNvSpPr txBox="1">
            <a:spLocks noChangeArrowheads="1"/>
          </xdr:cNvSpPr>
        </xdr:nvSpPr>
        <xdr:spPr bwMode="auto">
          <a:xfrm>
            <a:off x="569" y="1558"/>
            <a:ext cx="132" cy="3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lnSpc>
                <a:spcPts val="1200"/>
              </a:lnSpc>
              <a:defRPr sz="1000"/>
            </a:pPr>
            <a:r>
              <a:rPr lang="ja-JP" altLang="en-US" sz="1000" b="0" i="0" u="none" strike="noStrike" baseline="0">
                <a:solidFill>
                  <a:srgbClr val="000000"/>
                </a:solidFill>
                <a:latin typeface="ＭＳ Ｐゴシック"/>
                <a:ea typeface="ＭＳ Ｐゴシック"/>
              </a:rPr>
              <a:t>Response</a:t>
            </a:r>
          </a:p>
          <a:p>
            <a:pPr algn="l" rtl="0">
              <a:lnSpc>
                <a:spcPts val="1100"/>
              </a:lnSpc>
              <a:defRPr sz="1000"/>
            </a:pPr>
            <a:r>
              <a:rPr lang="ja-JP" altLang="en-US" sz="1000" b="0" i="0" u="none" strike="noStrike" baseline="0">
                <a:solidFill>
                  <a:srgbClr val="000000"/>
                </a:solidFill>
                <a:latin typeface="ＭＳ Ｐゴシック"/>
                <a:ea typeface="ＭＳ Ｐゴシック"/>
              </a:rPr>
              <a:t>data: 釣り合い計算結果</a:t>
            </a:r>
          </a:p>
        </xdr:txBody>
      </xdr:sp>
    </xdr:grpSp>
    <xdr:clientData/>
  </xdr:twoCellAnchor>
  <xdr:twoCellAnchor>
    <xdr:from>
      <xdr:col>1</xdr:col>
      <xdr:colOff>671946</xdr:colOff>
      <xdr:row>119</xdr:row>
      <xdr:rowOff>107373</xdr:rowOff>
    </xdr:from>
    <xdr:to>
      <xdr:col>3</xdr:col>
      <xdr:colOff>462396</xdr:colOff>
      <xdr:row>120</xdr:row>
      <xdr:rowOff>135948</xdr:rowOff>
    </xdr:to>
    <xdr:sp macro="" textlink="">
      <xdr:nvSpPr>
        <xdr:cNvPr id="10298" name="Text Box 58"/>
        <xdr:cNvSpPr txBox="1">
          <a:spLocks noChangeArrowheads="1"/>
        </xdr:cNvSpPr>
      </xdr:nvSpPr>
      <xdr:spPr bwMode="auto">
        <a:xfrm>
          <a:off x="931719" y="20819918"/>
          <a:ext cx="1660813" cy="20175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サーバーに送出するデータ</a:t>
          </a:r>
        </a:p>
      </xdr:txBody>
    </xdr:sp>
    <xdr:clientData/>
  </xdr:twoCellAnchor>
  <xdr:twoCellAnchor>
    <xdr:from>
      <xdr:col>7</xdr:col>
      <xdr:colOff>77561</xdr:colOff>
      <xdr:row>119</xdr:row>
      <xdr:rowOff>50347</xdr:rowOff>
    </xdr:from>
    <xdr:to>
      <xdr:col>9</xdr:col>
      <xdr:colOff>835479</xdr:colOff>
      <xdr:row>120</xdr:row>
      <xdr:rowOff>78922</xdr:rowOff>
    </xdr:to>
    <xdr:sp macro="" textlink="">
      <xdr:nvSpPr>
        <xdr:cNvPr id="10302" name="Text Box 62"/>
        <xdr:cNvSpPr txBox="1">
          <a:spLocks noChangeArrowheads="1"/>
        </xdr:cNvSpPr>
      </xdr:nvSpPr>
      <xdr:spPr bwMode="auto">
        <a:xfrm>
          <a:off x="5983061" y="21127811"/>
          <a:ext cx="2635704" cy="20546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noAutofit/>
        </a:bodyPr>
        <a:lstStyle/>
        <a:p>
          <a:pPr algn="l" rtl="0">
            <a:defRPr sz="1000"/>
          </a:pPr>
          <a:r>
            <a:rPr lang="ja-JP" altLang="en-US" sz="1100" b="0" i="0" u="none" strike="noStrike" baseline="0">
              <a:solidFill>
                <a:srgbClr val="000000"/>
              </a:solidFill>
              <a:latin typeface="ＭＳ Ｐゴシック"/>
              <a:ea typeface="ＭＳ Ｐゴシック"/>
            </a:rPr>
            <a:t>サーバーから受け取った釣り合い計算結果</a:t>
          </a:r>
        </a:p>
      </xdr:txBody>
    </xdr:sp>
    <xdr:clientData/>
  </xdr:twoCellAnchor>
  <mc:AlternateContent xmlns:mc="http://schemas.openxmlformats.org/markup-compatibility/2006">
    <mc:Choice xmlns:a14="http://schemas.microsoft.com/office/drawing/2010/main" Requires="a14">
      <xdr:twoCellAnchor>
        <xdr:from>
          <xdr:col>5</xdr:col>
          <xdr:colOff>0</xdr:colOff>
          <xdr:row>101</xdr:row>
          <xdr:rowOff>0</xdr:rowOff>
        </xdr:from>
        <xdr:to>
          <xdr:col>6</xdr:col>
          <xdr:colOff>0</xdr:colOff>
          <xdr:row>104</xdr:row>
          <xdr:rowOff>0</xdr:rowOff>
        </xdr:to>
        <xdr:sp macro="" textlink="">
          <xdr:nvSpPr>
            <xdr:cNvPr id="10305" name="Button 65" hidden="1">
              <a:extLst>
                <a:ext uri="{63B3BB69-23CF-44E3-9099-C40C66FF867C}">
                  <a14:compatExt spid="_x0000_s103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テスト計算</a:t>
              </a:r>
            </a:p>
          </xdr:txBody>
        </xdr:sp>
        <xdr:clientData fPrintsWithSheet="0"/>
      </xdr:twoCellAnchor>
    </mc:Choice>
    <mc:Fallback/>
  </mc:AlternateContent>
  <xdr:twoCellAnchor>
    <xdr:from>
      <xdr:col>7</xdr:col>
      <xdr:colOff>114300</xdr:colOff>
      <xdr:row>91</xdr:row>
      <xdr:rowOff>38100</xdr:rowOff>
    </xdr:from>
    <xdr:to>
      <xdr:col>10</xdr:col>
      <xdr:colOff>809625</xdr:colOff>
      <xdr:row>101</xdr:row>
      <xdr:rowOff>0</xdr:rowOff>
    </xdr:to>
    <xdr:grpSp>
      <xdr:nvGrpSpPr>
        <xdr:cNvPr id="13069" name="Group 167"/>
        <xdr:cNvGrpSpPr>
          <a:grpSpLocks/>
        </xdr:cNvGrpSpPr>
      </xdr:nvGrpSpPr>
      <xdr:grpSpPr bwMode="auto">
        <a:xfrm>
          <a:off x="6031006" y="16398688"/>
          <a:ext cx="3519207" cy="1754841"/>
          <a:chOff x="378" y="1679"/>
          <a:chExt cx="370" cy="186"/>
        </a:xfrm>
      </xdr:grpSpPr>
      <xdr:sp macro="" textlink="">
        <xdr:nvSpPr>
          <xdr:cNvPr id="10384" name="Text Box 144"/>
          <xdr:cNvSpPr txBox="1">
            <a:spLocks noChangeArrowheads="1"/>
          </xdr:cNvSpPr>
        </xdr:nvSpPr>
        <xdr:spPr bwMode="auto">
          <a:xfrm>
            <a:off x="378" y="1767"/>
            <a:ext cx="40"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高さ(1)</a:t>
            </a:r>
          </a:p>
        </xdr:txBody>
      </xdr:sp>
      <xdr:sp macro="" textlink="">
        <xdr:nvSpPr>
          <xdr:cNvPr id="13071" name="AutoShape 133"/>
          <xdr:cNvSpPr>
            <a:spLocks noChangeArrowheads="1"/>
          </xdr:cNvSpPr>
        </xdr:nvSpPr>
        <xdr:spPr bwMode="auto">
          <a:xfrm flipV="1">
            <a:off x="523" y="1767"/>
            <a:ext cx="99" cy="19"/>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82 w 21600"/>
              <a:gd name="T13" fmla="*/ 4547 h 21600"/>
              <a:gd name="T14" fmla="*/ 17018 w 21600"/>
              <a:gd name="T15" fmla="*/ 17053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2" name="AutoShape 134"/>
          <xdr:cNvSpPr>
            <a:spLocks noChangeArrowheads="1"/>
          </xdr:cNvSpPr>
        </xdr:nvSpPr>
        <xdr:spPr bwMode="auto">
          <a:xfrm flipV="1">
            <a:off x="474" y="1786"/>
            <a:ext cx="198" cy="38"/>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3709 w 21600"/>
              <a:gd name="T13" fmla="*/ 3979 h 21600"/>
              <a:gd name="T14" fmla="*/ 17891 w 21600"/>
              <a:gd name="T15" fmla="*/ 17621 h 21600"/>
            </a:gdLst>
            <a:ahLst/>
            <a:cxnLst>
              <a:cxn ang="T8">
                <a:pos x="T0" y="T1"/>
              </a:cxn>
              <a:cxn ang="T9">
                <a:pos x="T2" y="T3"/>
              </a:cxn>
              <a:cxn ang="T10">
                <a:pos x="T4" y="T5"/>
              </a:cxn>
              <a:cxn ang="T11">
                <a:pos x="T6" y="T7"/>
              </a:cxn>
            </a:cxnLst>
            <a:rect l="T12" t="T13" r="T14" b="T15"/>
            <a:pathLst>
              <a:path w="21600" h="21600">
                <a:moveTo>
                  <a:pt x="0" y="0"/>
                </a:moveTo>
                <a:lnTo>
                  <a:pt x="3818" y="21600"/>
                </a:lnTo>
                <a:lnTo>
                  <a:pt x="17782" y="21600"/>
                </a:lnTo>
                <a:lnTo>
                  <a:pt x="21600" y="0"/>
                </a:lnTo>
                <a:lnTo>
                  <a:pt x="0" y="0"/>
                </a:lnTo>
                <a:close/>
              </a:path>
            </a:pathLst>
          </a:custGeom>
          <a:solidFill>
            <a:srgbClr xmlns:mc="http://schemas.openxmlformats.org/markup-compatibility/2006" xmlns:a14="http://schemas.microsoft.com/office/drawing/2010/main" val="99CCFF" mc:Ignorable="a14" a14:legacySpreadsheetColorIndex="44">
              <a:alpha val="50195"/>
            </a:srgbClr>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073" name="Line 139"/>
          <xdr:cNvSpPr>
            <a:spLocks noChangeShapeType="1"/>
          </xdr:cNvSpPr>
        </xdr:nvSpPr>
        <xdr:spPr bwMode="auto">
          <a:xfrm flipV="1">
            <a:off x="424"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4" name="Line 140"/>
          <xdr:cNvSpPr>
            <a:spLocks noChangeShapeType="1"/>
          </xdr:cNvSpPr>
        </xdr:nvSpPr>
        <xdr:spPr bwMode="auto">
          <a:xfrm flipV="1">
            <a:off x="424" y="1786"/>
            <a:ext cx="6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5" name="Line 141"/>
          <xdr:cNvSpPr>
            <a:spLocks noChangeShapeType="1"/>
          </xdr:cNvSpPr>
        </xdr:nvSpPr>
        <xdr:spPr bwMode="auto">
          <a:xfrm flipV="1">
            <a:off x="424" y="1824"/>
            <a:ext cx="3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76" name="Line 142"/>
          <xdr:cNvSpPr>
            <a:spLocks noChangeShapeType="1"/>
          </xdr:cNvSpPr>
        </xdr:nvSpPr>
        <xdr:spPr bwMode="auto">
          <a:xfrm flipV="1">
            <a:off x="424" y="1786"/>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77" name="Line 143"/>
          <xdr:cNvSpPr>
            <a:spLocks noChangeShapeType="1"/>
          </xdr:cNvSpPr>
        </xdr:nvSpPr>
        <xdr:spPr bwMode="auto">
          <a:xfrm flipV="1">
            <a:off x="424" y="1767"/>
            <a:ext cx="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0385" name="Text Box 145"/>
          <xdr:cNvSpPr txBox="1">
            <a:spLocks noChangeArrowheads="1"/>
          </xdr:cNvSpPr>
        </xdr:nvSpPr>
        <xdr:spPr bwMode="auto">
          <a:xfrm>
            <a:off x="378" y="1786"/>
            <a:ext cx="46" cy="3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1000" b="0" i="0" u="none" strike="noStrike" baseline="0">
                <a:solidFill>
                  <a:srgbClr val="000000"/>
                </a:solidFill>
                <a:latin typeface="ＭＳ Ｐゴシック"/>
                <a:ea typeface="ＭＳ Ｐゴシック"/>
              </a:rPr>
              <a:t>高さ(2)</a:t>
            </a:r>
          </a:p>
        </xdr:txBody>
      </xdr:sp>
      <xdr:sp macro="" textlink="">
        <xdr:nvSpPr>
          <xdr:cNvPr id="13079" name="Line 146"/>
          <xdr:cNvSpPr>
            <a:spLocks noChangeShapeType="1"/>
          </xdr:cNvSpPr>
        </xdr:nvSpPr>
        <xdr:spPr bwMode="auto">
          <a:xfrm flipV="1">
            <a:off x="622" y="1767"/>
            <a:ext cx="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88" name="Text Box 148"/>
          <xdr:cNvSpPr txBox="1">
            <a:spLocks noChangeArrowheads="1"/>
          </xdr:cNvSpPr>
        </xdr:nvSpPr>
        <xdr:spPr bwMode="auto">
          <a:xfrm>
            <a:off x="723" y="1786"/>
            <a:ext cx="25" cy="18"/>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1000" b="0" i="0" u="none" strike="noStrike" baseline="0">
                <a:solidFill>
                  <a:srgbClr val="000000"/>
                </a:solidFill>
                <a:latin typeface="ＭＳ Ｐゴシック"/>
                <a:ea typeface="ＭＳ Ｐゴシック"/>
              </a:rPr>
              <a:t>深さ</a:t>
            </a:r>
          </a:p>
        </xdr:txBody>
      </xdr:sp>
      <xdr:sp macro="" textlink="">
        <xdr:nvSpPr>
          <xdr:cNvPr id="13081" name="Line 149"/>
          <xdr:cNvSpPr>
            <a:spLocks noChangeShapeType="1"/>
          </xdr:cNvSpPr>
        </xdr:nvSpPr>
        <xdr:spPr bwMode="auto">
          <a:xfrm flipV="1">
            <a:off x="721" y="1767"/>
            <a:ext cx="0" cy="57"/>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oval" w="sm" len="sm"/>
          </a:ln>
          <a:extLst>
            <a:ext uri="{909E8E84-426E-40DD-AFC4-6F175D3DCCD1}">
              <a14:hiddenFill xmlns:a14="http://schemas.microsoft.com/office/drawing/2010/main">
                <a:noFill/>
              </a14:hiddenFill>
            </a:ext>
          </a:extLst>
        </xdr:spPr>
      </xdr:sp>
      <xdr:sp macro="" textlink="">
        <xdr:nvSpPr>
          <xdr:cNvPr id="13082" name="Line 151"/>
          <xdr:cNvSpPr>
            <a:spLocks noChangeShapeType="1"/>
          </xdr:cNvSpPr>
        </xdr:nvSpPr>
        <xdr:spPr bwMode="auto">
          <a:xfrm flipV="1">
            <a:off x="467" y="1808"/>
            <a:ext cx="128"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3" name="Line 152"/>
          <xdr:cNvSpPr>
            <a:spLocks noChangeShapeType="1"/>
          </xdr:cNvSpPr>
        </xdr:nvSpPr>
        <xdr:spPr bwMode="auto">
          <a:xfrm flipV="1">
            <a:off x="46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84" name="Line 153"/>
          <xdr:cNvSpPr>
            <a:spLocks noChangeShapeType="1"/>
          </xdr:cNvSpPr>
        </xdr:nvSpPr>
        <xdr:spPr bwMode="auto">
          <a:xfrm flipV="1">
            <a:off x="595" y="1788"/>
            <a:ext cx="40" cy="19"/>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394" name="Text Box 154"/>
          <xdr:cNvSpPr txBox="1">
            <a:spLocks noChangeArrowheads="1"/>
          </xdr:cNvSpPr>
        </xdr:nvSpPr>
        <xdr:spPr bwMode="auto">
          <a:xfrm>
            <a:off x="506" y="1787"/>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上辺幅(2)</a:t>
            </a:r>
          </a:p>
        </xdr:txBody>
      </xdr:sp>
      <xdr:sp macro="" textlink="">
        <xdr:nvSpPr>
          <xdr:cNvPr id="13086" name="Line 155"/>
          <xdr:cNvSpPr>
            <a:spLocks noChangeShapeType="1"/>
          </xdr:cNvSpPr>
        </xdr:nvSpPr>
        <xdr:spPr bwMode="auto">
          <a:xfrm flipV="1">
            <a:off x="473" y="1863"/>
            <a:ext cx="199"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87" name="Line 156"/>
          <xdr:cNvSpPr>
            <a:spLocks noChangeShapeType="1"/>
          </xdr:cNvSpPr>
        </xdr:nvSpPr>
        <xdr:spPr bwMode="auto">
          <a:xfrm flipV="1">
            <a:off x="473"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88" name="Line 157"/>
          <xdr:cNvSpPr>
            <a:spLocks noChangeShapeType="1"/>
          </xdr:cNvSpPr>
        </xdr:nvSpPr>
        <xdr:spPr bwMode="auto">
          <a:xfrm flipV="1">
            <a:off x="674" y="1827"/>
            <a:ext cx="0" cy="38"/>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398" name="Text Box 158"/>
          <xdr:cNvSpPr txBox="1">
            <a:spLocks noChangeArrowheads="1"/>
          </xdr:cNvSpPr>
        </xdr:nvSpPr>
        <xdr:spPr bwMode="auto">
          <a:xfrm>
            <a:off x="533" y="1841"/>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下辺幅(2)</a:t>
            </a:r>
          </a:p>
        </xdr:txBody>
      </xdr:sp>
      <xdr:sp macro="" textlink="">
        <xdr:nvSpPr>
          <xdr:cNvPr id="13090" name="Line 159"/>
          <xdr:cNvSpPr>
            <a:spLocks noChangeShapeType="1"/>
          </xdr:cNvSpPr>
        </xdr:nvSpPr>
        <xdr:spPr bwMode="auto">
          <a:xfrm flipV="1">
            <a:off x="508" y="1747"/>
            <a:ext cx="92"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1" name="Line 160"/>
          <xdr:cNvSpPr>
            <a:spLocks noChangeShapeType="1"/>
          </xdr:cNvSpPr>
        </xdr:nvSpPr>
        <xdr:spPr bwMode="auto">
          <a:xfrm>
            <a:off x="506"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3092" name="Line 161"/>
          <xdr:cNvSpPr>
            <a:spLocks noChangeShapeType="1"/>
          </xdr:cNvSpPr>
        </xdr:nvSpPr>
        <xdr:spPr bwMode="auto">
          <a:xfrm>
            <a:off x="602" y="1749"/>
            <a:ext cx="20" cy="35"/>
          </a:xfrm>
          <a:prstGeom prst="line">
            <a:avLst/>
          </a:prstGeom>
          <a:noFill/>
          <a:ln w="317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noFill/>
              </a14:hiddenFill>
            </a:ext>
          </a:extLst>
        </xdr:spPr>
      </xdr:sp>
      <xdr:sp macro="" textlink="">
        <xdr:nvSpPr>
          <xdr:cNvPr id="10402" name="Text Box 162"/>
          <xdr:cNvSpPr txBox="1">
            <a:spLocks noChangeArrowheads="1"/>
          </xdr:cNvSpPr>
        </xdr:nvSpPr>
        <xdr:spPr bwMode="auto">
          <a:xfrm>
            <a:off x="526" y="1720"/>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下辺幅(1)</a:t>
            </a:r>
          </a:p>
        </xdr:txBody>
      </xdr:sp>
      <xdr:sp macro="" textlink="">
        <xdr:nvSpPr>
          <xdr:cNvPr id="13094" name="Line 163"/>
          <xdr:cNvSpPr>
            <a:spLocks noChangeShapeType="1"/>
          </xdr:cNvSpPr>
        </xdr:nvSpPr>
        <xdr:spPr bwMode="auto">
          <a:xfrm flipV="1">
            <a:off x="551" y="1705"/>
            <a:ext cx="47" cy="0"/>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arrow" w="sm" len="sm"/>
            <a:tailEnd type="arrow" w="sm" len="sm"/>
          </a:ln>
          <a:extLst>
            <a:ext uri="{909E8E84-426E-40DD-AFC4-6F175D3DCCD1}">
              <a14:hiddenFill xmlns:a14="http://schemas.microsoft.com/office/drawing/2010/main">
                <a:noFill/>
              </a14:hiddenFill>
            </a:ext>
          </a:extLst>
        </xdr:spPr>
      </xdr:sp>
      <xdr:sp macro="" textlink="">
        <xdr:nvSpPr>
          <xdr:cNvPr id="13095" name="Line 164"/>
          <xdr:cNvSpPr>
            <a:spLocks noChangeShapeType="1"/>
          </xdr:cNvSpPr>
        </xdr:nvSpPr>
        <xdr:spPr bwMode="auto">
          <a:xfrm flipV="1">
            <a:off x="550"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3096" name="Line 165"/>
          <xdr:cNvSpPr>
            <a:spLocks noChangeShapeType="1"/>
          </xdr:cNvSpPr>
        </xdr:nvSpPr>
        <xdr:spPr bwMode="auto">
          <a:xfrm flipV="1">
            <a:off x="598" y="1705"/>
            <a:ext cx="0" cy="56"/>
          </a:xfrm>
          <a:prstGeom prst="line">
            <a:avLst/>
          </a:prstGeom>
          <a:noFill/>
          <a:ln w="3175">
            <a:solidFill>
              <a:srgbClr xmlns:mc="http://schemas.openxmlformats.org/markup-compatibility/2006" xmlns:a14="http://schemas.microsoft.com/office/drawing/2010/main" val="000000" mc:Ignorable="a14" a14:legacySpreadsheetColorIndex="64"/>
            </a:solidFill>
            <a:round/>
            <a:headEnd type="none" w="sm" len="sm"/>
            <a:tailEnd type="none" w="sm" len="sm"/>
          </a:ln>
          <a:extLst>
            <a:ext uri="{909E8E84-426E-40DD-AFC4-6F175D3DCCD1}">
              <a14:hiddenFill xmlns:a14="http://schemas.microsoft.com/office/drawing/2010/main">
                <a:noFill/>
              </a14:hiddenFill>
            </a:ext>
          </a:extLst>
        </xdr:spPr>
      </xdr:sp>
      <xdr:sp macro="" textlink="">
        <xdr:nvSpPr>
          <xdr:cNvPr id="10406" name="Text Box 166"/>
          <xdr:cNvSpPr txBox="1">
            <a:spLocks noChangeArrowheads="1"/>
          </xdr:cNvSpPr>
        </xdr:nvSpPr>
        <xdr:spPr bwMode="auto">
          <a:xfrm>
            <a:off x="539" y="1679"/>
            <a:ext cx="56" cy="2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18288" anchor="ctr" upright="1">
            <a:spAutoFit/>
          </a:bodyPr>
          <a:lstStyle/>
          <a:p>
            <a:pPr algn="l" rtl="0">
              <a:defRPr sz="1000"/>
            </a:pPr>
            <a:r>
              <a:rPr lang="ja-JP" altLang="en-US" sz="1000" b="0" i="0" u="none" strike="noStrike" baseline="0">
                <a:solidFill>
                  <a:srgbClr val="000000"/>
                </a:solidFill>
                <a:latin typeface="ＭＳ Ｐゴシック"/>
                <a:ea typeface="ＭＳ Ｐゴシック"/>
              </a:rPr>
              <a:t>上辺幅(1)</a:t>
            </a:r>
          </a:p>
        </xdr:txBody>
      </xdr:sp>
    </xdr:grpSp>
    <xdr:clientData/>
  </xdr:twoCellAnchor>
  <mc:AlternateContent xmlns:mc="http://schemas.openxmlformats.org/markup-compatibility/2006">
    <mc:Choice xmlns:a14="http://schemas.microsoft.com/office/drawing/2010/main" Requires="a14">
      <xdr:twoCellAnchor editAs="oneCell">
        <xdr:from>
          <xdr:col>1</xdr:col>
          <xdr:colOff>704850</xdr:colOff>
          <xdr:row>121</xdr:row>
          <xdr:rowOff>9525</xdr:rowOff>
        </xdr:from>
        <xdr:to>
          <xdr:col>6</xdr:col>
          <xdr:colOff>85725</xdr:colOff>
          <xdr:row>154</xdr:row>
          <xdr:rowOff>123825</xdr:rowOff>
        </xdr:to>
        <xdr:sp macro="" textlink="">
          <xdr:nvSpPr>
            <xdr:cNvPr id="10306" name="TextBox1" hidden="1">
              <a:extLst>
                <a:ext uri="{63B3BB69-23CF-44E3-9099-C40C66FF867C}">
                  <a14:compatExt spid="_x0000_s10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120</xdr:row>
          <xdr:rowOff>171450</xdr:rowOff>
        </xdr:from>
        <xdr:to>
          <xdr:col>11</xdr:col>
          <xdr:colOff>638175</xdr:colOff>
          <xdr:row>154</xdr:row>
          <xdr:rowOff>104775</xdr:rowOff>
        </xdr:to>
        <xdr:sp macro="" textlink="">
          <xdr:nvSpPr>
            <xdr:cNvPr id="10307" name="TextBox2" hidden="1">
              <a:extLst>
                <a:ext uri="{63B3BB69-23CF-44E3-9099-C40C66FF867C}">
                  <a14:compatExt spid="_x0000_s103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1</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0</xdr:colOff>
          <xdr:row>1</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800" b="0" i="0" u="none" strike="noStrike" baseline="0">
                  <a:solidFill>
                    <a:srgbClr val="000000"/>
                  </a:solidFill>
                  <a:latin typeface="ＭＳ Ｐゴシック"/>
                  <a:ea typeface="ＭＳ Ｐゴシック"/>
                </a:rPr>
                <a:t>計算開始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jc-d057\D\Documents%20and%20Settings\&#30959;&#35997;&#12288;&#28165;\My%20Documents\excldata\&#36899;&#25658;&#65420;&#65383;&#65394;&#6543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AS-26-FC-E4\media\&#12521;&#12540;&#12513;&#12531;&#35336;&#31639;-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12521;&#12540;&#12513;&#12531;&#35336;&#31639;-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AS-26-FC-E4\media\&#12539;&#12524;&#65293;&#12523;&#12454;&#12455;&#12452;&#65381;&#12463;&#12523;&#12475;&#12452;&#12480;&#12540;&#12474;\&#33337;&#23567;&#23627;&#39365;&#39640;&#26550;&#20445;&#23432;&#29992;&#26012;&#36335;\&#35336;&#31639;&#26360;\&#12521;&#12540;&#12513;&#12531;&#35336;&#31639;-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12539;&#12524;&#65293;&#12523;&#12454;&#12455;&#12452;&#65381;&#12463;&#12523;&#12475;&#12452;&#12480;&#12540;&#12474;\&#33337;&#23567;&#23627;&#39365;&#39640;&#26550;&#20445;&#23432;&#29992;&#26012;&#36335;\&#35336;&#31639;&#26360;\&#12521;&#12540;&#12513;&#12531;&#35336;&#3163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連携ﾌｧｲﾙ"/>
      <sheetName val="躯体の設計"/>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ｽｲﾍｲ"/>
      <sheetName val="ﾗｰﾒﾝIN"/>
      <sheetName val="ｸｲｷｿ"/>
      <sheetName val="ｸｲｷｿ-2"/>
      <sheetName val="ｽﾗﾌﾞR"/>
      <sheetName val="ﾈｼﾞﾘM"/>
      <sheetName val="ｼﾞｮｳﾌﾞS"/>
      <sheetName val="ｼﾝﾄﾞT"/>
      <sheetName val="ねじりモーメント"/>
      <sheetName val="水平分担"/>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ﾗｰﾒﾝIN"/>
      <sheetName val="ｸｲｷｿ"/>
      <sheetName val="ｸｲｷｿ-2"/>
      <sheetName val="ｽﾗﾌﾞR"/>
      <sheetName val="ねじりモーメント"/>
      <sheetName val="ﾈｼﾞﾘM"/>
      <sheetName val="ｼﾞｮｳﾌﾞS"/>
      <sheetName val="ｼﾝﾄﾞT"/>
      <sheetName val="水平分担"/>
      <sheetName val="ｽｲﾍｲ"/>
      <sheetName val="TAISHIN1"/>
      <sheetName val="ｹﾀｳｹ"/>
      <sheetName val="ﾊｼﾗ-U2"/>
      <sheetName val="ﾊﾘ-U"/>
      <sheetName val="ﾃﾞｨｰﾌﾟB"/>
      <sheetName val="ｽｲﾍｲPUD"/>
      <sheetName val="R37-ｹｯｶ1"/>
      <sheetName val="R37-ｹｯｶ2"/>
      <sheetName val="表紙・目次 "/>
      <sheetName val="設計条件-1"/>
      <sheetName val="設計条件-2"/>
      <sheetName val="荷重計算"/>
      <sheetName val="電算シート"/>
      <sheetName val="曲げモーメントの検討"/>
      <sheetName val="せん断の検討"/>
      <sheetName val="安全性の照査"/>
      <sheetName val="トーニチ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hyperlink" Target="https://support.office.com/ja-jp/article/Office-%E3%83%89%E3%82%AD%E3%83%A5%E3%83%A1%E3%83%B3%E3%83%88%E3%81%AE%E3%83%9E%E3%82%AF%E3%83%AD%E3%82%92%E6%9C%89%E5%8A%B9%E3%81%BE%E3%81%9F%E3%81%AF%E7%84%A1%E5%8A%B9%E3%81%AB%E3%81%99%E3%82%8B-7b4fdd2e-" TargetMode="External"/><Relationship Id="rId6" Type="http://schemas.openxmlformats.org/officeDocument/2006/relationships/control" Target="../activeX/activeX1.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putSheet"/>
  <dimension ref="A1:AO165"/>
  <sheetViews>
    <sheetView topLeftCell="A94" zoomScale="85" zoomScaleNormal="85" workbookViewId="0">
      <selection activeCell="G120" sqref="G120"/>
    </sheetView>
  </sheetViews>
  <sheetFormatPr defaultColWidth="12.375" defaultRowHeight="14.25" customHeight="1"/>
  <cols>
    <col min="1" max="1" width="3.5" style="147" customWidth="1"/>
    <col min="2" max="5" width="12.375" style="148" customWidth="1"/>
    <col min="6" max="6" width="12.375" style="147" customWidth="1"/>
    <col min="7" max="12" width="12.375" style="148" customWidth="1"/>
    <col min="13" max="13" width="12.375" style="147" customWidth="1"/>
    <col min="14" max="18" width="12.375" style="148" customWidth="1"/>
    <col min="19" max="19" width="12.375" style="147" customWidth="1"/>
    <col min="20" max="16384" width="12.375" style="148"/>
  </cols>
  <sheetData>
    <row r="1" spans="1:11" s="155" customFormat="1" ht="15.75" customHeight="1">
      <c r="A1" s="153" t="s">
        <v>276</v>
      </c>
      <c r="B1" s="154"/>
      <c r="C1" s="154"/>
      <c r="D1" s="154"/>
      <c r="E1" s="154"/>
      <c r="F1" s="154"/>
      <c r="G1" s="154"/>
      <c r="H1" s="154"/>
      <c r="I1" s="154"/>
      <c r="J1" s="154"/>
    </row>
    <row r="3" spans="1:11" s="151" customFormat="1" ht="14.25" customHeight="1">
      <c r="B3" s="149" t="s">
        <v>308</v>
      </c>
      <c r="K3" s="152"/>
    </row>
    <row r="4" spans="1:11" s="151" customFormat="1" ht="7.5" customHeight="1"/>
    <row r="5" spans="1:11" s="151" customFormat="1" ht="14.25" customHeight="1">
      <c r="B5" s="151" t="s">
        <v>297</v>
      </c>
    </row>
    <row r="6" spans="1:11" s="151" customFormat="1" ht="14.25" customHeight="1">
      <c r="B6" s="151" t="s">
        <v>298</v>
      </c>
    </row>
    <row r="7" spans="1:11" s="151" customFormat="1" ht="14.25" customHeight="1"/>
    <row r="8" spans="1:11" s="151" customFormat="1" ht="14.25" customHeight="1">
      <c r="B8" s="151" t="s">
        <v>277</v>
      </c>
    </row>
    <row r="9" spans="1:11" s="151" customFormat="1" ht="14.25" customHeight="1">
      <c r="B9" s="151" t="s">
        <v>326</v>
      </c>
    </row>
    <row r="10" spans="1:11" ht="14.25" customHeight="1">
      <c r="B10" s="148" t="s">
        <v>278</v>
      </c>
    </row>
    <row r="11" spans="1:11" ht="14.25" customHeight="1">
      <c r="B11" s="148" t="s">
        <v>327</v>
      </c>
    </row>
    <row r="13" spans="1:11" ht="14.25" customHeight="1">
      <c r="B13" s="148" t="s">
        <v>301</v>
      </c>
    </row>
    <row r="14" spans="1:11" ht="14.25" customHeight="1">
      <c r="B14" s="162" t="s">
        <v>300</v>
      </c>
    </row>
    <row r="16" spans="1:11" ht="14.25" customHeight="1">
      <c r="B16" s="148" t="s">
        <v>302</v>
      </c>
    </row>
    <row r="18" spans="1:19" s="165" customFormat="1" ht="14.25" customHeight="1">
      <c r="A18" s="163"/>
      <c r="B18" s="164" t="s">
        <v>303</v>
      </c>
      <c r="F18" s="163"/>
      <c r="M18" s="163"/>
      <c r="S18" s="163"/>
    </row>
    <row r="19" spans="1:19" s="165" customFormat="1" ht="14.25" customHeight="1">
      <c r="A19" s="163"/>
      <c r="B19" s="234" t="s">
        <v>377</v>
      </c>
      <c r="C19" s="234"/>
      <c r="D19" s="234"/>
      <c r="E19" s="234"/>
      <c r="F19" s="234"/>
      <c r="G19" s="234"/>
      <c r="H19" s="234"/>
      <c r="I19" s="234"/>
      <c r="J19" s="234"/>
      <c r="M19" s="163"/>
      <c r="S19" s="163"/>
    </row>
    <row r="20" spans="1:19" s="165" customFormat="1" ht="14.25" customHeight="1">
      <c r="A20" s="163"/>
      <c r="B20" s="164" t="s">
        <v>338</v>
      </c>
      <c r="F20" s="163"/>
      <c r="M20" s="163"/>
      <c r="S20" s="163"/>
    </row>
    <row r="21" spans="1:19" s="165" customFormat="1" ht="14.25" customHeight="1">
      <c r="A21" s="163"/>
      <c r="B21" s="234" t="s">
        <v>378</v>
      </c>
      <c r="C21" s="234"/>
      <c r="D21" s="234"/>
      <c r="E21" s="234"/>
      <c r="F21" s="234"/>
      <c r="G21" s="234"/>
      <c r="H21" s="234"/>
      <c r="I21" s="234"/>
      <c r="J21" s="234"/>
      <c r="M21" s="163"/>
      <c r="S21" s="163"/>
    </row>
    <row r="23" spans="1:19" ht="14.25" customHeight="1">
      <c r="B23" s="148" t="s">
        <v>306</v>
      </c>
    </row>
    <row r="24" spans="1:19" ht="14.25" customHeight="1">
      <c r="B24" s="156" t="s">
        <v>304</v>
      </c>
    </row>
    <row r="25" spans="1:19" ht="14.25" customHeight="1">
      <c r="B25" s="156" t="s">
        <v>305</v>
      </c>
    </row>
    <row r="28" spans="1:19" s="151" customFormat="1" ht="14.25" customHeight="1">
      <c r="B28" s="149" t="s">
        <v>307</v>
      </c>
      <c r="K28" s="152"/>
    </row>
    <row r="29" spans="1:19" s="151" customFormat="1" ht="7.5" customHeight="1"/>
    <row r="30" spans="1:19" ht="14.25" customHeight="1">
      <c r="B30" s="148" t="s">
        <v>271</v>
      </c>
    </row>
    <row r="31" spans="1:19" ht="14.25" customHeight="1">
      <c r="B31" s="148" t="s">
        <v>272</v>
      </c>
    </row>
    <row r="32" spans="1:19" ht="14.25" customHeight="1">
      <c r="B32" s="148" t="s">
        <v>273</v>
      </c>
    </row>
    <row r="33" spans="2:11" ht="14.25" customHeight="1">
      <c r="B33" s="148" t="s">
        <v>274</v>
      </c>
    </row>
    <row r="34" spans="2:11" ht="14.25" customHeight="1">
      <c r="B34" s="148" t="s">
        <v>275</v>
      </c>
    </row>
    <row r="37" spans="2:11" s="151" customFormat="1" ht="14.25" customHeight="1">
      <c r="B37" s="149" t="s">
        <v>279</v>
      </c>
      <c r="K37" s="152"/>
    </row>
    <row r="38" spans="2:11" s="151" customFormat="1" ht="7.5" customHeight="1"/>
    <row r="39" spans="2:11" ht="14.25" customHeight="1">
      <c r="B39" s="148" t="s">
        <v>284</v>
      </c>
    </row>
    <row r="41" spans="2:11" ht="14.25" customHeight="1">
      <c r="B41" s="156" t="s">
        <v>287</v>
      </c>
    </row>
    <row r="42" spans="2:11" ht="14.25" customHeight="1">
      <c r="B42" s="157" t="s">
        <v>280</v>
      </c>
    </row>
    <row r="43" spans="2:11" ht="14.25" customHeight="1">
      <c r="B43" s="157" t="s">
        <v>281</v>
      </c>
    </row>
    <row r="44" spans="2:11" ht="14.25" customHeight="1">
      <c r="B44" s="156" t="s">
        <v>288</v>
      </c>
    </row>
    <row r="45" spans="2:11" ht="14.25" customHeight="1">
      <c r="B45" s="157" t="s">
        <v>280</v>
      </c>
    </row>
    <row r="46" spans="2:11" ht="14.25" customHeight="1">
      <c r="B46" s="157" t="s">
        <v>281</v>
      </c>
    </row>
    <row r="47" spans="2:11" ht="14.25" customHeight="1">
      <c r="B47" s="156" t="s">
        <v>289</v>
      </c>
    </row>
    <row r="48" spans="2:11" ht="14.25" customHeight="1">
      <c r="B48" s="157" t="s">
        <v>280</v>
      </c>
    </row>
    <row r="49" spans="2:2" ht="14.25" customHeight="1">
      <c r="B49" s="156" t="s">
        <v>290</v>
      </c>
    </row>
    <row r="50" spans="2:2" ht="14.25" customHeight="1">
      <c r="B50" s="157" t="s">
        <v>282</v>
      </c>
    </row>
    <row r="51" spans="2:2" ht="14.25" customHeight="1">
      <c r="B51" s="157" t="s">
        <v>283</v>
      </c>
    </row>
    <row r="53" spans="2:2" ht="14.25" customHeight="1">
      <c r="B53" s="159" t="s">
        <v>294</v>
      </c>
    </row>
    <row r="54" spans="2:2" ht="14.25" customHeight="1">
      <c r="B54" s="161" t="s">
        <v>295</v>
      </c>
    </row>
    <row r="55" spans="2:2" ht="14.25" customHeight="1">
      <c r="B55" s="160" t="s">
        <v>285</v>
      </c>
    </row>
    <row r="56" spans="2:2" ht="14.25" customHeight="1">
      <c r="B56" s="148" t="s">
        <v>286</v>
      </c>
    </row>
    <row r="58" spans="2:2" ht="14.25" customHeight="1">
      <c r="B58" s="160" t="s">
        <v>296</v>
      </c>
    </row>
    <row r="59" spans="2:2" ht="14.25" customHeight="1">
      <c r="B59" s="148" t="s">
        <v>328</v>
      </c>
    </row>
    <row r="60" spans="2:2" ht="14.25" customHeight="1">
      <c r="B60" s="161" t="s">
        <v>291</v>
      </c>
    </row>
    <row r="62" spans="2:2" ht="14.25" customHeight="1">
      <c r="B62" s="148" t="s">
        <v>292</v>
      </c>
    </row>
    <row r="63" spans="2:2" ht="14.25" customHeight="1">
      <c r="B63" s="148" t="s">
        <v>293</v>
      </c>
    </row>
    <row r="65" spans="2:21" ht="14.25" customHeight="1">
      <c r="B65" s="148" t="s">
        <v>309</v>
      </c>
    </row>
    <row r="66" spans="2:21" ht="27" customHeight="1">
      <c r="B66" s="166" t="s">
        <v>14</v>
      </c>
      <c r="C66" s="167" t="s">
        <v>246</v>
      </c>
    </row>
    <row r="67" spans="2:21" ht="27" customHeight="1">
      <c r="B67" s="166" t="s">
        <v>3</v>
      </c>
      <c r="C67" s="167" t="s">
        <v>339</v>
      </c>
    </row>
    <row r="71" spans="2:21" s="151" customFormat="1" ht="14.25" customHeight="1">
      <c r="B71" s="149" t="s">
        <v>299</v>
      </c>
      <c r="K71" s="152"/>
    </row>
    <row r="72" spans="2:21" s="151" customFormat="1" ht="7.5" customHeight="1"/>
    <row r="73" spans="2:21" ht="14.25" customHeight="1">
      <c r="B73" s="151" t="s">
        <v>312</v>
      </c>
    </row>
    <row r="74" spans="2:21" ht="14.25" customHeight="1">
      <c r="B74" s="148" t="s">
        <v>310</v>
      </c>
    </row>
    <row r="76" spans="2:21" ht="14.25" customHeight="1">
      <c r="U76"/>
    </row>
    <row r="81" spans="2:20" ht="14.25" customHeight="1">
      <c r="N81"/>
    </row>
    <row r="82" spans="2:20" ht="14.25" customHeight="1">
      <c r="N82" s="148" t="s">
        <v>311</v>
      </c>
    </row>
    <row r="83" spans="2:20" ht="14.25" customHeight="1">
      <c r="K83"/>
    </row>
    <row r="85" spans="2:20" ht="14.25" customHeight="1">
      <c r="L85"/>
      <c r="T85"/>
    </row>
    <row r="87" spans="2:20" ht="14.25" customHeight="1">
      <c r="G87"/>
      <c r="L87"/>
    </row>
    <row r="88" spans="2:20" ht="14.25" customHeight="1">
      <c r="K88"/>
    </row>
    <row r="93" spans="2:20" ht="14.25" customHeight="1">
      <c r="B93" s="151" t="s">
        <v>313</v>
      </c>
    </row>
    <row r="94" spans="2:20" ht="14.25" customHeight="1">
      <c r="B94" s="168" t="s">
        <v>329</v>
      </c>
    </row>
    <row r="95" spans="2:20" ht="14.25" customHeight="1">
      <c r="B95" s="168" t="s">
        <v>325</v>
      </c>
    </row>
    <row r="97" spans="1:27" ht="14.25" customHeight="1">
      <c r="B97" s="168" t="s">
        <v>330</v>
      </c>
    </row>
    <row r="98" spans="1:27" ht="14.25" customHeight="1">
      <c r="B98" s="168" t="s">
        <v>331</v>
      </c>
    </row>
    <row r="101" spans="1:27" ht="14.25" customHeight="1">
      <c r="B101" s="150" t="s">
        <v>247</v>
      </c>
    </row>
    <row r="102" spans="1:27" ht="14.25" customHeight="1">
      <c r="B102" s="232" t="s">
        <v>248</v>
      </c>
      <c r="C102" s="232" t="s">
        <v>314</v>
      </c>
      <c r="D102" s="230" t="s">
        <v>249</v>
      </c>
    </row>
    <row r="103" spans="1:27" ht="14.25" customHeight="1">
      <c r="B103" s="233"/>
      <c r="C103" s="233"/>
      <c r="D103" s="231"/>
      <c r="G103" s="147"/>
    </row>
    <row r="104" spans="1:27" ht="14.25" customHeight="1">
      <c r="B104" s="169">
        <v>1800</v>
      </c>
      <c r="C104" s="170">
        <v>200.35</v>
      </c>
      <c r="D104" s="170"/>
    </row>
    <row r="105" spans="1:27" ht="14.25" customHeight="1">
      <c r="C105" s="147"/>
      <c r="E105" s="147"/>
      <c r="F105" s="148"/>
      <c r="G105" s="147"/>
      <c r="I105" s="147"/>
      <c r="K105" s="147"/>
      <c r="O105" s="147"/>
      <c r="Q105" s="147"/>
      <c r="U105" s="147"/>
      <c r="W105" s="147"/>
      <c r="Y105" s="147"/>
    </row>
    <row r="106" spans="1:27" ht="14.25" customHeight="1">
      <c r="B106" s="150" t="s">
        <v>2</v>
      </c>
      <c r="G106" s="150" t="s">
        <v>250</v>
      </c>
      <c r="N106" s="150" t="s">
        <v>251</v>
      </c>
      <c r="T106" s="150" t="s">
        <v>252</v>
      </c>
    </row>
    <row r="107" spans="1:27" ht="14.25" customHeight="1">
      <c r="B107" s="232" t="s">
        <v>253</v>
      </c>
      <c r="C107" s="228" t="s">
        <v>254</v>
      </c>
      <c r="D107" s="228" t="s">
        <v>255</v>
      </c>
      <c r="E107" s="230" t="s">
        <v>256</v>
      </c>
      <c r="G107" s="232" t="s">
        <v>256</v>
      </c>
      <c r="H107" s="228" t="s">
        <v>257</v>
      </c>
      <c r="I107" s="228" t="s">
        <v>258</v>
      </c>
      <c r="J107" s="228" t="s">
        <v>259</v>
      </c>
      <c r="K107" s="228" t="s">
        <v>260</v>
      </c>
      <c r="L107" s="230" t="s">
        <v>261</v>
      </c>
      <c r="N107" s="232" t="s">
        <v>262</v>
      </c>
      <c r="O107" s="228" t="s">
        <v>263</v>
      </c>
      <c r="P107" s="228" t="s">
        <v>264</v>
      </c>
      <c r="Q107" s="228" t="s">
        <v>265</v>
      </c>
      <c r="R107" s="230" t="s">
        <v>256</v>
      </c>
      <c r="T107" s="232" t="s">
        <v>256</v>
      </c>
      <c r="U107" s="228" t="s">
        <v>266</v>
      </c>
      <c r="V107" s="228" t="s">
        <v>267</v>
      </c>
      <c r="W107" s="228" t="s">
        <v>259</v>
      </c>
      <c r="X107" s="228" t="s">
        <v>261</v>
      </c>
      <c r="Y107" s="228" t="s">
        <v>268</v>
      </c>
      <c r="Z107" s="228" t="s">
        <v>269</v>
      </c>
      <c r="AA107" s="230" t="s">
        <v>270</v>
      </c>
    </row>
    <row r="108" spans="1:27" ht="14.25" customHeight="1">
      <c r="B108" s="233"/>
      <c r="C108" s="229"/>
      <c r="D108" s="229"/>
      <c r="E108" s="231"/>
      <c r="G108" s="233"/>
      <c r="H108" s="229"/>
      <c r="I108" s="229"/>
      <c r="J108" s="229"/>
      <c r="K108" s="229"/>
      <c r="L108" s="231"/>
      <c r="N108" s="233"/>
      <c r="O108" s="229"/>
      <c r="P108" s="229"/>
      <c r="Q108" s="229"/>
      <c r="R108" s="231"/>
      <c r="T108" s="233"/>
      <c r="U108" s="229"/>
      <c r="V108" s="229"/>
      <c r="W108" s="229"/>
      <c r="X108" s="229"/>
      <c r="Y108" s="229"/>
      <c r="Z108" s="229"/>
      <c r="AA108" s="231"/>
    </row>
    <row r="109" spans="1:27" s="158" customFormat="1" ht="14.25" customHeight="1">
      <c r="A109" s="171"/>
      <c r="B109" s="172">
        <v>800</v>
      </c>
      <c r="C109" s="173">
        <v>800</v>
      </c>
      <c r="D109" s="173">
        <v>800</v>
      </c>
      <c r="E109" s="174" t="s">
        <v>315</v>
      </c>
      <c r="F109" s="171"/>
      <c r="G109" s="175" t="s">
        <v>315</v>
      </c>
      <c r="H109" s="173">
        <v>24</v>
      </c>
      <c r="I109" s="173">
        <v>1.3</v>
      </c>
      <c r="J109" s="173">
        <v>25</v>
      </c>
      <c r="K109" s="173">
        <v>25</v>
      </c>
      <c r="L109" s="176">
        <v>1</v>
      </c>
      <c r="M109" s="171"/>
      <c r="N109" s="172">
        <v>75</v>
      </c>
      <c r="O109" s="177" t="s">
        <v>316</v>
      </c>
      <c r="P109" s="173">
        <v>8</v>
      </c>
      <c r="Q109" s="178"/>
      <c r="R109" s="174" t="s">
        <v>317</v>
      </c>
      <c r="S109" s="171"/>
      <c r="T109" s="175" t="s">
        <v>317</v>
      </c>
      <c r="U109" s="173">
        <v>345</v>
      </c>
      <c r="V109" s="173">
        <v>1</v>
      </c>
      <c r="W109" s="173">
        <v>200</v>
      </c>
      <c r="X109" s="176">
        <v>1</v>
      </c>
      <c r="Y109" s="176">
        <v>92.9</v>
      </c>
      <c r="Z109" s="176">
        <v>0.1188</v>
      </c>
      <c r="AA109" s="176">
        <v>1</v>
      </c>
    </row>
    <row r="110" spans="1:27" s="158" customFormat="1" ht="14.25" customHeight="1">
      <c r="A110" s="171"/>
      <c r="B110" s="179"/>
      <c r="C110" s="180"/>
      <c r="D110" s="180"/>
      <c r="E110" s="181"/>
      <c r="F110" s="171"/>
      <c r="G110" s="182"/>
      <c r="H110" s="180"/>
      <c r="I110" s="180"/>
      <c r="J110" s="180"/>
      <c r="K110" s="180"/>
      <c r="L110" s="183"/>
      <c r="M110" s="171"/>
      <c r="N110" s="179">
        <f t="shared" ref="N110:N116" si="0">N109+650/7</f>
        <v>167.85714285714286</v>
      </c>
      <c r="O110" s="184" t="s">
        <v>316</v>
      </c>
      <c r="P110" s="180">
        <v>2</v>
      </c>
      <c r="Q110" s="185"/>
      <c r="R110" s="181" t="s">
        <v>317</v>
      </c>
      <c r="S110" s="171"/>
      <c r="T110" s="182"/>
      <c r="U110" s="180"/>
      <c r="V110" s="180"/>
      <c r="W110" s="180"/>
      <c r="X110" s="183"/>
      <c r="Y110" s="183"/>
      <c r="Z110" s="183"/>
      <c r="AA110" s="183"/>
    </row>
    <row r="111" spans="1:27" s="158" customFormat="1" ht="14.25" customHeight="1">
      <c r="A111" s="171"/>
      <c r="B111" s="179"/>
      <c r="C111" s="180"/>
      <c r="D111" s="180"/>
      <c r="E111" s="181"/>
      <c r="F111" s="171"/>
      <c r="G111" s="182"/>
      <c r="H111" s="180"/>
      <c r="I111" s="180"/>
      <c r="J111" s="180"/>
      <c r="K111" s="180"/>
      <c r="L111" s="183"/>
      <c r="M111" s="171"/>
      <c r="N111" s="179">
        <f t="shared" si="0"/>
        <v>260.71428571428572</v>
      </c>
      <c r="O111" s="184" t="s">
        <v>316</v>
      </c>
      <c r="P111" s="180">
        <v>2</v>
      </c>
      <c r="Q111" s="185"/>
      <c r="R111" s="181" t="s">
        <v>317</v>
      </c>
      <c r="S111" s="171"/>
      <c r="T111" s="182"/>
      <c r="U111" s="180"/>
      <c r="V111" s="180"/>
      <c r="W111" s="180"/>
      <c r="X111" s="183"/>
      <c r="Y111" s="183"/>
      <c r="Z111" s="183"/>
      <c r="AA111" s="183"/>
    </row>
    <row r="112" spans="1:27" s="158" customFormat="1" ht="14.25" customHeight="1">
      <c r="A112" s="171"/>
      <c r="B112" s="179"/>
      <c r="C112" s="180"/>
      <c r="D112" s="180"/>
      <c r="E112" s="181"/>
      <c r="F112" s="171"/>
      <c r="G112" s="182"/>
      <c r="H112" s="180"/>
      <c r="I112" s="180"/>
      <c r="J112" s="180"/>
      <c r="K112" s="180"/>
      <c r="L112" s="183"/>
      <c r="M112" s="171"/>
      <c r="N112" s="179">
        <f t="shared" si="0"/>
        <v>353.57142857142856</v>
      </c>
      <c r="O112" s="184" t="s">
        <v>316</v>
      </c>
      <c r="P112" s="180">
        <v>2</v>
      </c>
      <c r="Q112" s="185"/>
      <c r="R112" s="181" t="s">
        <v>317</v>
      </c>
      <c r="S112" s="171"/>
      <c r="T112" s="182"/>
      <c r="U112" s="180"/>
      <c r="V112" s="180"/>
      <c r="W112" s="180"/>
      <c r="X112" s="183"/>
      <c r="Y112" s="183"/>
      <c r="Z112" s="183"/>
      <c r="AA112" s="183"/>
    </row>
    <row r="113" spans="1:41" s="158" customFormat="1" ht="14.25" customHeight="1">
      <c r="A113" s="171"/>
      <c r="B113" s="179"/>
      <c r="C113" s="180"/>
      <c r="D113" s="180"/>
      <c r="E113" s="181"/>
      <c r="F113" s="171"/>
      <c r="G113" s="182"/>
      <c r="H113" s="180"/>
      <c r="I113" s="180"/>
      <c r="J113" s="180"/>
      <c r="K113" s="180"/>
      <c r="L113" s="183"/>
      <c r="M113" s="171"/>
      <c r="N113" s="179">
        <f t="shared" si="0"/>
        <v>446.42857142857144</v>
      </c>
      <c r="O113" s="184" t="s">
        <v>316</v>
      </c>
      <c r="P113" s="180">
        <v>2</v>
      </c>
      <c r="Q113" s="185"/>
      <c r="R113" s="181" t="s">
        <v>317</v>
      </c>
      <c r="S113" s="171"/>
      <c r="T113" s="182"/>
      <c r="U113" s="180"/>
      <c r="V113" s="180"/>
      <c r="W113" s="180"/>
      <c r="X113" s="183"/>
      <c r="Y113" s="183"/>
      <c r="Z113" s="183"/>
      <c r="AA113" s="183"/>
    </row>
    <row r="114" spans="1:41" s="158" customFormat="1" ht="14.25" customHeight="1">
      <c r="A114" s="171"/>
      <c r="B114" s="179"/>
      <c r="C114" s="180"/>
      <c r="D114" s="180"/>
      <c r="E114" s="181"/>
      <c r="F114" s="171"/>
      <c r="G114" s="182"/>
      <c r="H114" s="180"/>
      <c r="I114" s="180"/>
      <c r="J114" s="180"/>
      <c r="K114" s="180"/>
      <c r="L114" s="183"/>
      <c r="M114" s="171"/>
      <c r="N114" s="179">
        <f t="shared" si="0"/>
        <v>539.28571428571433</v>
      </c>
      <c r="O114" s="184" t="s">
        <v>316</v>
      </c>
      <c r="P114" s="180">
        <v>2</v>
      </c>
      <c r="Q114" s="185"/>
      <c r="R114" s="181" t="s">
        <v>317</v>
      </c>
      <c r="S114" s="171"/>
      <c r="T114" s="182"/>
      <c r="U114" s="180"/>
      <c r="V114" s="180"/>
      <c r="W114" s="180"/>
      <c r="X114" s="183"/>
      <c r="Y114" s="183"/>
      <c r="Z114" s="183"/>
      <c r="AA114" s="183"/>
    </row>
    <row r="115" spans="1:41" s="158" customFormat="1" ht="14.25" customHeight="1">
      <c r="A115" s="171"/>
      <c r="B115" s="179"/>
      <c r="C115" s="180"/>
      <c r="D115" s="180"/>
      <c r="E115" s="181"/>
      <c r="F115" s="171"/>
      <c r="G115" s="182"/>
      <c r="H115" s="180"/>
      <c r="I115" s="180"/>
      <c r="J115" s="180"/>
      <c r="K115" s="180"/>
      <c r="L115" s="183"/>
      <c r="M115" s="171"/>
      <c r="N115" s="179">
        <f t="shared" si="0"/>
        <v>632.14285714285722</v>
      </c>
      <c r="O115" s="184" t="s">
        <v>316</v>
      </c>
      <c r="P115" s="180">
        <v>2</v>
      </c>
      <c r="Q115" s="185"/>
      <c r="R115" s="181" t="s">
        <v>317</v>
      </c>
      <c r="S115" s="171"/>
      <c r="T115" s="182"/>
      <c r="U115" s="180"/>
      <c r="V115" s="180"/>
      <c r="W115" s="180"/>
      <c r="X115" s="183"/>
      <c r="Y115" s="183"/>
      <c r="Z115" s="183"/>
      <c r="AA115" s="183"/>
    </row>
    <row r="116" spans="1:41" s="158" customFormat="1" ht="14.25" customHeight="1">
      <c r="A116" s="171"/>
      <c r="B116" s="179"/>
      <c r="C116" s="180"/>
      <c r="D116" s="180"/>
      <c r="E116" s="181"/>
      <c r="F116" s="171"/>
      <c r="G116" s="182"/>
      <c r="H116" s="180"/>
      <c r="I116" s="180"/>
      <c r="J116" s="180"/>
      <c r="K116" s="180"/>
      <c r="L116" s="183"/>
      <c r="M116" s="171"/>
      <c r="N116" s="179">
        <f t="shared" si="0"/>
        <v>725.00000000000011</v>
      </c>
      <c r="O116" s="184" t="s">
        <v>316</v>
      </c>
      <c r="P116" s="180">
        <v>8</v>
      </c>
      <c r="Q116" s="185" t="s">
        <v>318</v>
      </c>
      <c r="R116" s="181" t="s">
        <v>317</v>
      </c>
      <c r="S116" s="171"/>
      <c r="T116" s="182"/>
      <c r="U116" s="180"/>
      <c r="V116" s="180"/>
      <c r="W116" s="180"/>
      <c r="X116" s="183"/>
      <c r="Y116" s="183"/>
      <c r="Z116" s="183"/>
      <c r="AA116" s="183"/>
    </row>
    <row r="117" spans="1:41" s="158" customFormat="1" ht="14.25" customHeight="1">
      <c r="A117" s="171"/>
      <c r="B117" s="179"/>
      <c r="C117" s="180"/>
      <c r="D117" s="180"/>
      <c r="E117" s="181"/>
      <c r="F117" s="171"/>
      <c r="G117" s="182"/>
      <c r="H117" s="180"/>
      <c r="I117" s="180"/>
      <c r="J117" s="180"/>
      <c r="K117" s="180"/>
      <c r="L117" s="183"/>
      <c r="M117" s="171"/>
      <c r="N117" s="179"/>
      <c r="O117" s="184"/>
      <c r="P117" s="180"/>
      <c r="Q117" s="185"/>
      <c r="R117" s="181"/>
      <c r="S117" s="171"/>
      <c r="T117" s="182"/>
      <c r="U117" s="180"/>
      <c r="V117" s="180"/>
      <c r="W117" s="180"/>
      <c r="X117" s="183"/>
      <c r="Y117" s="183"/>
      <c r="Z117" s="183"/>
      <c r="AA117" s="183"/>
    </row>
    <row r="118" spans="1:41" s="158" customFormat="1" ht="14.25" customHeight="1">
      <c r="A118" s="171"/>
      <c r="B118" s="186"/>
      <c r="C118" s="187"/>
      <c r="D118" s="187"/>
      <c r="E118" s="188"/>
      <c r="F118" s="171"/>
      <c r="G118" s="189"/>
      <c r="H118" s="187"/>
      <c r="I118" s="187"/>
      <c r="J118" s="187"/>
      <c r="K118" s="187"/>
      <c r="L118" s="190"/>
      <c r="M118" s="171"/>
      <c r="N118" s="186"/>
      <c r="O118" s="191"/>
      <c r="P118" s="187"/>
      <c r="Q118" s="192"/>
      <c r="R118" s="188"/>
      <c r="S118" s="171"/>
      <c r="T118" s="189"/>
      <c r="U118" s="187"/>
      <c r="V118" s="187"/>
      <c r="W118" s="187"/>
      <c r="X118" s="190"/>
      <c r="Y118" s="190"/>
      <c r="Z118" s="190"/>
      <c r="AA118" s="190"/>
    </row>
    <row r="119" spans="1:41" s="147" customFormat="1" ht="14.25" customHeight="1">
      <c r="A119" s="193"/>
      <c r="B119" s="193"/>
      <c r="C119" s="193"/>
      <c r="D119" s="193"/>
      <c r="E119" s="193"/>
      <c r="F119" s="193"/>
      <c r="G119" s="193"/>
      <c r="H119" s="193"/>
      <c r="I119" s="193"/>
      <c r="J119" s="193"/>
      <c r="K119" s="193"/>
      <c r="L119" s="193"/>
      <c r="M119" s="193"/>
      <c r="N119" s="193"/>
      <c r="O119" s="193"/>
      <c r="P119" s="193"/>
      <c r="Q119" s="193"/>
      <c r="R119" s="193"/>
      <c r="S119" s="193"/>
      <c r="T119" s="193"/>
      <c r="U119" s="193"/>
      <c r="V119" s="193"/>
      <c r="W119" s="193"/>
      <c r="X119" s="193"/>
      <c r="Y119" s="193"/>
      <c r="Z119" s="193"/>
      <c r="AA119" s="193"/>
      <c r="AB119" s="193"/>
      <c r="AC119" s="193"/>
      <c r="AD119" s="193"/>
      <c r="AE119" s="193"/>
      <c r="AF119" s="193"/>
      <c r="AG119" s="193"/>
      <c r="AH119" s="193"/>
      <c r="AI119" s="193"/>
      <c r="AJ119" s="193"/>
      <c r="AK119" s="193"/>
      <c r="AL119" s="193"/>
      <c r="AM119" s="193"/>
      <c r="AN119" s="193"/>
      <c r="AO119" s="193"/>
    </row>
    <row r="125" spans="1:41" ht="14.25" customHeight="1">
      <c r="N125"/>
    </row>
    <row r="157" spans="2:11" s="151" customFormat="1" ht="14.25" customHeight="1">
      <c r="B157" s="149" t="s">
        <v>324</v>
      </c>
      <c r="K157" s="152"/>
    </row>
    <row r="158" spans="2:11" s="151" customFormat="1" ht="7.5" customHeight="1"/>
    <row r="159" spans="2:11" ht="14.25" customHeight="1">
      <c r="B159" s="194" t="s">
        <v>323</v>
      </c>
    </row>
    <row r="160" spans="2:11" ht="14.25" customHeight="1">
      <c r="B160" s="194" t="s">
        <v>320</v>
      </c>
    </row>
    <row r="161" spans="2:2" ht="14.25" customHeight="1">
      <c r="B161" s="194" t="s">
        <v>321</v>
      </c>
    </row>
    <row r="162" spans="2:2" ht="14.25" customHeight="1">
      <c r="B162" s="194" t="s">
        <v>322</v>
      </c>
    </row>
    <row r="163" spans="2:2" ht="14.25" customHeight="1">
      <c r="B163" s="196" t="s">
        <v>340</v>
      </c>
    </row>
    <row r="164" spans="2:2" ht="14.25" customHeight="1">
      <c r="B164" s="195" t="s">
        <v>319</v>
      </c>
    </row>
    <row r="165" spans="2:2" ht="14.25" customHeight="1">
      <c r="B165" s="197" t="s">
        <v>345</v>
      </c>
    </row>
  </sheetData>
  <mergeCells count="28">
    <mergeCell ref="N107:N108"/>
    <mergeCell ref="O107:O108"/>
    <mergeCell ref="B19:J19"/>
    <mergeCell ref="B21:J21"/>
    <mergeCell ref="Y107:Y108"/>
    <mergeCell ref="H107:H108"/>
    <mergeCell ref="B102:B103"/>
    <mergeCell ref="C102:C103"/>
    <mergeCell ref="B107:B108"/>
    <mergeCell ref="C107:C108"/>
    <mergeCell ref="D107:D108"/>
    <mergeCell ref="E107:E108"/>
    <mergeCell ref="Z107:Z108"/>
    <mergeCell ref="AA107:AA108"/>
    <mergeCell ref="D102:D103"/>
    <mergeCell ref="U107:U108"/>
    <mergeCell ref="V107:V108"/>
    <mergeCell ref="W107:W108"/>
    <mergeCell ref="X107:X108"/>
    <mergeCell ref="P107:P108"/>
    <mergeCell ref="Q107:Q108"/>
    <mergeCell ref="R107:R108"/>
    <mergeCell ref="T107:T108"/>
    <mergeCell ref="K107:K108"/>
    <mergeCell ref="L107:L108"/>
    <mergeCell ref="I107:I108"/>
    <mergeCell ref="J107:J108"/>
    <mergeCell ref="G107:G108"/>
  </mergeCells>
  <phoneticPr fontId="2"/>
  <dataValidations count="4">
    <dataValidation type="list" allowBlank="1" showInputMessage="1" showErrorMessage="1" sqref="Q109:Q118">
      <formula1>"○"</formula1>
    </dataValidation>
    <dataValidation type="list" allowBlank="1" showInputMessage="1" sqref="E109:E118">
      <formula1>$G$109:$G$118</formula1>
    </dataValidation>
    <dataValidation type="list" allowBlank="1" showErrorMessage="1" sqref="R109:R118">
      <formula1>$T$109:$T$118</formula1>
    </dataValidation>
    <dataValidation type="decimal" operator="greaterThanOrEqual" allowBlank="1" showInputMessage="1" showErrorMessage="1" sqref="C104">
      <formula1>0</formula1>
    </dataValidation>
  </dataValidations>
  <hyperlinks>
    <hyperlink ref="B14" r:id="rId1"/>
  </hyperlinks>
  <pageMargins left="0.75" right="0.75" top="1" bottom="1" header="0.51200000000000001" footer="0.51200000000000001"/>
  <headerFooter alignWithMargins="0"/>
  <drawing r:id="rId2"/>
  <legacyDrawing r:id="rId3"/>
  <oleObjects>
    <mc:AlternateContent xmlns:mc="http://schemas.openxmlformats.org/markup-compatibility/2006">
      <mc:Choice Requires="x14">
        <oleObject progId="Paint.Picture" shapeId="10242" r:id="rId4">
          <objectPr defaultSize="0" autoPict="0" r:id="rId5">
            <anchor moveWithCells="1">
              <from>
                <xdr:col>5</xdr:col>
                <xdr:colOff>895350</xdr:colOff>
                <xdr:row>38</xdr:row>
                <xdr:rowOff>95250</xdr:rowOff>
              </from>
              <to>
                <xdr:col>8</xdr:col>
                <xdr:colOff>752475</xdr:colOff>
                <xdr:row>63</xdr:row>
                <xdr:rowOff>76200</xdr:rowOff>
              </to>
            </anchor>
          </objectPr>
        </oleObject>
      </mc:Choice>
      <mc:Fallback>
        <oleObject progId="Paint.Picture" shapeId="10242" r:id="rId4"/>
      </mc:Fallback>
    </mc:AlternateContent>
  </oleObjects>
  <controls>
    <mc:AlternateContent xmlns:mc="http://schemas.openxmlformats.org/markup-compatibility/2006">
      <mc:Choice Requires="x14">
        <control shapeId="10307" r:id="rId6" name="TextBox2">
          <controlPr defaultSize="0" autoLine="0" autoPict="0" r:id="rId7">
            <anchor moveWithCells="1">
              <from>
                <xdr:col>7</xdr:col>
                <xdr:colOff>47625</xdr:colOff>
                <xdr:row>120</xdr:row>
                <xdr:rowOff>171450</xdr:rowOff>
              </from>
              <to>
                <xdr:col>11</xdr:col>
                <xdr:colOff>638175</xdr:colOff>
                <xdr:row>154</xdr:row>
                <xdr:rowOff>104775</xdr:rowOff>
              </to>
            </anchor>
          </controlPr>
        </control>
      </mc:Choice>
      <mc:Fallback>
        <control shapeId="10307" r:id="rId6" name="TextBox2"/>
      </mc:Fallback>
    </mc:AlternateContent>
    <mc:AlternateContent xmlns:mc="http://schemas.openxmlformats.org/markup-compatibility/2006">
      <mc:Choice Requires="x14">
        <control shapeId="10306" r:id="rId8" name="TextBox1">
          <controlPr defaultSize="0" autoLine="0" autoPict="0" r:id="rId9">
            <anchor moveWithCells="1">
              <from>
                <xdr:col>1</xdr:col>
                <xdr:colOff>704850</xdr:colOff>
                <xdr:row>121</xdr:row>
                <xdr:rowOff>9525</xdr:rowOff>
              </from>
              <to>
                <xdr:col>6</xdr:col>
                <xdr:colOff>85725</xdr:colOff>
                <xdr:row>154</xdr:row>
                <xdr:rowOff>123825</xdr:rowOff>
              </to>
            </anchor>
          </controlPr>
        </control>
      </mc:Choice>
      <mc:Fallback>
        <control shapeId="10306" r:id="rId8" name="TextBox1"/>
      </mc:Fallback>
    </mc:AlternateContent>
    <mc:AlternateContent xmlns:mc="http://schemas.openxmlformats.org/markup-compatibility/2006">
      <mc:Choice Requires="x14">
        <control shapeId="10305" r:id="rId10" name="Button 65">
          <controlPr defaultSize="0" print="0" autoFill="0" autoPict="0" macro="[0]!InputSheet.テスト計算_Click">
            <anchor moveWithCells="1" sizeWithCells="1">
              <from>
                <xdr:col>5</xdr:col>
                <xdr:colOff>0</xdr:colOff>
                <xdr:row>101</xdr:row>
                <xdr:rowOff>0</xdr:rowOff>
              </from>
              <to>
                <xdr:col>6</xdr:col>
                <xdr:colOff>0</xdr:colOff>
                <xdr:row>104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42"/>
  <sheetViews>
    <sheetView view="pageBreakPreview" zoomScale="85" zoomScaleNormal="100" zoomScaleSheetLayoutView="85" workbookViewId="0">
      <selection activeCell="H19" sqref="H19"/>
    </sheetView>
  </sheetViews>
  <sheetFormatPr defaultColWidth="12.625" defaultRowHeight="15.75" customHeight="1"/>
  <cols>
    <col min="1" max="1" width="2.625" style="217" customWidth="1"/>
    <col min="2" max="2" width="16.625" style="203" customWidth="1"/>
    <col min="3" max="3" width="12.625" style="201"/>
    <col min="4" max="16384" width="12.625" style="217"/>
  </cols>
  <sheetData>
    <row r="1" spans="1:3" s="204" customFormat="1" ht="15.75" customHeight="1">
      <c r="A1" s="202"/>
      <c r="B1" s="203"/>
      <c r="C1" s="201"/>
    </row>
    <row r="2" spans="1:3" s="21" customFormat="1" ht="15.75" customHeight="1">
      <c r="A2" s="21" t="s">
        <v>370</v>
      </c>
      <c r="C2" s="201"/>
    </row>
    <row r="3" spans="1:3" s="21" customFormat="1" ht="15.75" customHeight="1">
      <c r="A3" s="244" t="s">
        <v>0</v>
      </c>
      <c r="B3" s="245"/>
      <c r="C3" s="64" t="s">
        <v>383</v>
      </c>
    </row>
    <row r="4" spans="1:3" s="21" customFormat="1" ht="15.75" customHeight="1">
      <c r="A4" s="246" t="s">
        <v>1</v>
      </c>
      <c r="B4" s="247"/>
      <c r="C4" s="63" t="s">
        <v>384</v>
      </c>
    </row>
    <row r="5" spans="1:3" s="21" customFormat="1" ht="15.75" customHeight="1">
      <c r="A5" s="246" t="s">
        <v>2</v>
      </c>
      <c r="B5" s="247"/>
      <c r="C5" s="18" t="s">
        <v>245</v>
      </c>
    </row>
    <row r="6" spans="1:3" s="21" customFormat="1" ht="15.75" customHeight="1">
      <c r="A6" s="243" t="s">
        <v>350</v>
      </c>
      <c r="B6" s="205" t="s">
        <v>372</v>
      </c>
      <c r="C6" s="18">
        <v>1800</v>
      </c>
    </row>
    <row r="7" spans="1:3" s="21" customFormat="1" ht="15.75" customHeight="1">
      <c r="A7" s="243"/>
      <c r="B7" s="205" t="s">
        <v>375</v>
      </c>
      <c r="C7" s="18"/>
    </row>
    <row r="8" spans="1:3" s="21" customFormat="1" ht="15.75" customHeight="1">
      <c r="A8" s="243"/>
      <c r="B8" s="205" t="s">
        <v>371</v>
      </c>
      <c r="C8" s="18"/>
    </row>
    <row r="9" spans="1:3" s="21" customFormat="1" ht="15.75" customHeight="1">
      <c r="A9" s="243"/>
      <c r="B9" s="205" t="s">
        <v>374</v>
      </c>
      <c r="C9" s="18">
        <v>1200</v>
      </c>
    </row>
    <row r="10" spans="1:3" s="21" customFormat="1" ht="15.75" customHeight="1">
      <c r="A10" s="243" t="s">
        <v>351</v>
      </c>
      <c r="B10" s="205" t="s">
        <v>14</v>
      </c>
      <c r="C10" s="144" t="s">
        <v>379</v>
      </c>
    </row>
    <row r="11" spans="1:3" s="21" customFormat="1" ht="15.75" customHeight="1">
      <c r="A11" s="243"/>
      <c r="B11" s="205" t="s">
        <v>3</v>
      </c>
      <c r="C11" s="144">
        <v>100</v>
      </c>
    </row>
    <row r="12" spans="1:3" s="21" customFormat="1" ht="15.75" customHeight="1">
      <c r="A12" s="243"/>
      <c r="B12" s="205" t="s">
        <v>244</v>
      </c>
      <c r="C12" s="18"/>
    </row>
    <row r="13" spans="1:3" s="206" customFormat="1" ht="15.75" customHeight="1">
      <c r="A13" s="243"/>
      <c r="B13" s="205" t="s">
        <v>4</v>
      </c>
      <c r="C13" s="18"/>
    </row>
    <row r="14" spans="1:3" s="206" customFormat="1" ht="15.75" customHeight="1">
      <c r="A14" s="243" t="s">
        <v>352</v>
      </c>
      <c r="B14" s="205" t="s">
        <v>15</v>
      </c>
      <c r="C14" s="19">
        <v>24</v>
      </c>
    </row>
    <row r="15" spans="1:3" s="206" customFormat="1" ht="15.75" customHeight="1">
      <c r="A15" s="243"/>
      <c r="B15" s="205" t="s">
        <v>367</v>
      </c>
      <c r="C15" s="207">
        <f>getEc(C14)</f>
        <v>25</v>
      </c>
    </row>
    <row r="16" spans="1:3" s="206" customFormat="1" ht="15.75" customHeight="1">
      <c r="A16" s="243"/>
      <c r="B16" s="205" t="s">
        <v>17</v>
      </c>
      <c r="C16" s="63">
        <v>345</v>
      </c>
    </row>
    <row r="17" spans="1:3" s="206" customFormat="1" ht="15.75" customHeight="1">
      <c r="A17" s="243"/>
      <c r="B17" s="205" t="s">
        <v>368</v>
      </c>
      <c r="C17" s="207">
        <f>getEs(C16)</f>
        <v>200</v>
      </c>
    </row>
    <row r="18" spans="1:3" s="206" customFormat="1" ht="15.75" customHeight="1">
      <c r="A18" s="243"/>
      <c r="B18" s="205" t="s">
        <v>30</v>
      </c>
      <c r="C18" s="208">
        <f>IF(C15=0,"",C17/C15)</f>
        <v>8</v>
      </c>
    </row>
    <row r="19" spans="1:3" s="206" customFormat="1" ht="15.75" customHeight="1">
      <c r="A19" s="248" t="s">
        <v>353</v>
      </c>
      <c r="B19" s="205" t="s">
        <v>19</v>
      </c>
      <c r="C19" s="19">
        <v>1000</v>
      </c>
    </row>
    <row r="20" spans="1:3" s="206" customFormat="1" ht="15.75" customHeight="1">
      <c r="A20" s="248"/>
      <c r="B20" s="205" t="s">
        <v>381</v>
      </c>
      <c r="C20" s="19">
        <v>100</v>
      </c>
    </row>
    <row r="21" spans="1:3" s="206" customFormat="1" ht="15.75" customHeight="1">
      <c r="A21" s="240" t="s">
        <v>354</v>
      </c>
      <c r="B21" s="205" t="s">
        <v>57</v>
      </c>
      <c r="C21" s="209">
        <v>628.42828369140625</v>
      </c>
    </row>
    <row r="22" spans="1:3" s="206" customFormat="1" ht="15.75" customHeight="1">
      <c r="A22" s="240"/>
      <c r="B22" s="205" t="s">
        <v>21</v>
      </c>
      <c r="C22" s="210">
        <v>1.921689510345459</v>
      </c>
    </row>
    <row r="23" spans="1:3" s="206" customFormat="1" ht="15.75" customHeight="1">
      <c r="A23" s="240"/>
      <c r="B23" s="205" t="s">
        <v>26</v>
      </c>
      <c r="C23" s="210">
        <v>26.214328765869141</v>
      </c>
    </row>
    <row r="24" spans="1:3" s="206" customFormat="1" ht="19.5" customHeight="1">
      <c r="A24" s="240" t="s">
        <v>355</v>
      </c>
      <c r="B24" s="205" t="s">
        <v>369</v>
      </c>
      <c r="C24" s="211">
        <v>9</v>
      </c>
    </row>
    <row r="25" spans="1:3" s="206" customFormat="1" ht="19.5" customHeight="1">
      <c r="A25" s="240"/>
      <c r="B25" s="205" t="s">
        <v>366</v>
      </c>
      <c r="C25" s="211">
        <v>180</v>
      </c>
    </row>
    <row r="26" spans="1:3" s="206" customFormat="1" ht="19.5" customHeight="1">
      <c r="A26" s="241"/>
      <c r="B26" s="212" t="s">
        <v>29</v>
      </c>
      <c r="C26" s="31" t="str">
        <f>IF(C24*C25=0,"",IF(MAX(C22/C24,C23/C25)&lt;1,"OK","NG"))</f>
        <v>OK</v>
      </c>
    </row>
    <row r="27" spans="1:3" s="206" customFormat="1" ht="15.75" customHeight="1">
      <c r="A27" s="213"/>
      <c r="B27" s="214"/>
      <c r="C27" s="215"/>
    </row>
    <row r="28" spans="1:3" ht="15.75" customHeight="1">
      <c r="A28" s="216" t="s">
        <v>357</v>
      </c>
      <c r="B28" s="217"/>
      <c r="C28" s="218"/>
    </row>
    <row r="29" spans="1:3" ht="15.75" customHeight="1">
      <c r="A29" s="242" t="s">
        <v>350</v>
      </c>
      <c r="B29" s="219" t="s">
        <v>373</v>
      </c>
      <c r="C29" s="224">
        <f>IF(C31="","",bc(C5,C6,C9))</f>
        <v>1200</v>
      </c>
    </row>
    <row r="30" spans="1:3" ht="15.75" customHeight="1">
      <c r="A30" s="243"/>
      <c r="B30" s="205" t="s">
        <v>376</v>
      </c>
      <c r="C30" s="225">
        <f>IF(C31="","",dc(C5,C6,C9,C10,C11))</f>
        <v>1700</v>
      </c>
    </row>
    <row r="31" spans="1:3" ht="19.5" customHeight="1">
      <c r="A31" s="240" t="s">
        <v>354</v>
      </c>
      <c r="B31" s="205" t="s">
        <v>380</v>
      </c>
      <c r="C31" s="72">
        <v>200</v>
      </c>
    </row>
    <row r="32" spans="1:3" ht="19.5" customHeight="1">
      <c r="A32" s="240"/>
      <c r="B32" s="220" t="s">
        <v>358</v>
      </c>
      <c r="C32" s="226">
        <f>IF(C31="","",IF(C29*C30=0,"",C31*1000/(C29*C30)))</f>
        <v>9.8039215686274508E-2</v>
      </c>
    </row>
    <row r="33" spans="1:3" ht="19.5" customHeight="1">
      <c r="A33" s="240" t="s">
        <v>359</v>
      </c>
      <c r="B33" s="220" t="s">
        <v>360</v>
      </c>
      <c r="C33" s="221">
        <v>0.2</v>
      </c>
    </row>
    <row r="34" spans="1:3" ht="19.5" customHeight="1">
      <c r="A34" s="241"/>
      <c r="B34" s="212" t="s">
        <v>6</v>
      </c>
      <c r="C34" s="227" t="str">
        <f>IF(C31="","",IF(C32&gt;C33,"-","OK"))</f>
        <v>OK</v>
      </c>
    </row>
    <row r="35" spans="1:3" ht="15.75" customHeight="1">
      <c r="A35" s="235" t="s">
        <v>361</v>
      </c>
      <c r="B35" s="238" t="s">
        <v>362</v>
      </c>
      <c r="C35" s="200" t="s">
        <v>382</v>
      </c>
    </row>
    <row r="36" spans="1:3" ht="15.75" customHeight="1">
      <c r="A36" s="236"/>
      <c r="B36" s="239"/>
      <c r="C36" s="222">
        <f>Ass("矩形", 1, 1, C35)</f>
        <v>253.39999389648437</v>
      </c>
    </row>
    <row r="37" spans="1:3" ht="15.75" customHeight="1">
      <c r="A37" s="236"/>
      <c r="B37" s="205" t="s">
        <v>363</v>
      </c>
      <c r="C37" s="63">
        <v>300</v>
      </c>
    </row>
    <row r="38" spans="1:3" ht="15.75" customHeight="1">
      <c r="A38" s="236"/>
      <c r="B38" s="223" t="s">
        <v>364</v>
      </c>
      <c r="C38" s="27" t="str">
        <f>IF(C32&gt;C33,0.5*C33*C29*C30/1000,"")</f>
        <v/>
      </c>
    </row>
    <row r="39" spans="1:3" ht="15.75" customHeight="1">
      <c r="A39" s="236"/>
      <c r="B39" s="223" t="s">
        <v>365</v>
      </c>
      <c r="C39" s="27" t="str">
        <f>IF(C32&gt;C33,C31-C38,"")</f>
        <v/>
      </c>
    </row>
    <row r="40" spans="1:3" ht="15.75" customHeight="1">
      <c r="A40" s="236"/>
      <c r="B40" s="223" t="s">
        <v>366</v>
      </c>
      <c r="C40" s="27" t="str">
        <f>IF(C31="","",IF(C36*C30=0,"",IF(C32&gt;C33,1.15*C39*1000*C37/(C36*C30),"")))</f>
        <v/>
      </c>
    </row>
    <row r="41" spans="1:3" ht="15.75" customHeight="1">
      <c r="A41" s="236"/>
      <c r="B41" s="220" t="s">
        <v>356</v>
      </c>
      <c r="C41" s="211">
        <v>180</v>
      </c>
    </row>
    <row r="42" spans="1:3" ht="15.75" customHeight="1">
      <c r="A42" s="237"/>
      <c r="B42" s="212" t="s">
        <v>6</v>
      </c>
      <c r="C42" s="199" t="str">
        <f>IF(C32="","",IF(C32&gt;C33,IF(C41&gt;C40,"OK","NG"),""))</f>
        <v/>
      </c>
    </row>
  </sheetData>
  <sheetProtection formatCells="0" formatColumns="0" formatRows="0" insertColumns="0" deleteColumns="0" deleteRows="0"/>
  <mergeCells count="14">
    <mergeCell ref="A3:B3"/>
    <mergeCell ref="A4:B4"/>
    <mergeCell ref="A5:B5"/>
    <mergeCell ref="A24:A26"/>
    <mergeCell ref="A19:A20"/>
    <mergeCell ref="A21:A23"/>
    <mergeCell ref="A6:A9"/>
    <mergeCell ref="A10:A13"/>
    <mergeCell ref="A14:A18"/>
    <mergeCell ref="A35:A42"/>
    <mergeCell ref="B35:B36"/>
    <mergeCell ref="A31:A32"/>
    <mergeCell ref="A33:A34"/>
    <mergeCell ref="A29:A30"/>
  </mergeCells>
  <phoneticPr fontId="2"/>
  <conditionalFormatting sqref="C42">
    <cfRule type="cellIs" dxfId="1" priority="11" operator="equal">
      <formula>"NG"</formula>
    </cfRule>
  </conditionalFormatting>
  <conditionalFormatting sqref="C34">
    <cfRule type="cellIs" dxfId="0" priority="10" stopIfTrue="1" operator="equal">
      <formula>"NG"</formula>
    </cfRule>
  </conditionalFormatting>
  <dataValidations count="1">
    <dataValidation type="list" showInputMessage="1" showErrorMessage="1" sqref="C5">
      <formula1>"矩形,円形,Ｔ形,逆T形,小判形,円環断面"</formula1>
    </dataValidation>
  </dataValidations>
  <pageMargins left="0.7" right="0.7" top="0.75" bottom="0.75" header="0.3" footer="0.3"/>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434" r:id="rId4" name="Button 2">
              <controlPr defaultSize="0" print="0" autoFill="0" autoPict="0" macro="[0]!Sheet16.許容応力度_ボタン1_Click">
                <anchor>
                  <from>
                    <xdr:col>0</xdr:col>
                    <xdr:colOff>0</xdr:colOff>
                    <xdr:row>0</xdr:row>
                    <xdr:rowOff>0</xdr:rowOff>
                  </from>
                  <to>
                    <xdr:col>2</xdr:col>
                    <xdr:colOff>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dimension ref="A2:C33"/>
  <sheetViews>
    <sheetView view="pageBreakPreview" zoomScale="115" zoomScaleNormal="100" zoomScaleSheetLayoutView="115" workbookViewId="0">
      <selection activeCell="F19" sqref="F19"/>
    </sheetView>
  </sheetViews>
  <sheetFormatPr defaultColWidth="13.875" defaultRowHeight="15.75" customHeight="1" outlineLevelRow="1"/>
  <cols>
    <col min="1" max="1" width="16.625" style="2" bestFit="1" customWidth="1"/>
    <col min="2" max="3" width="12.75" style="1" customWidth="1"/>
    <col min="4" max="16384" width="13.875" style="1"/>
  </cols>
  <sheetData>
    <row r="2" spans="1:3" ht="15.75" customHeight="1">
      <c r="A2" s="1" t="s">
        <v>51</v>
      </c>
    </row>
    <row r="3" spans="1:3" ht="15.75" customHeight="1">
      <c r="A3" s="3" t="s">
        <v>0</v>
      </c>
      <c r="B3" s="64" t="s">
        <v>343</v>
      </c>
      <c r="C3" s="64" t="s">
        <v>343</v>
      </c>
    </row>
    <row r="4" spans="1:3" ht="15.75" customHeight="1">
      <c r="A4" s="4" t="s">
        <v>1</v>
      </c>
      <c r="B4" s="63" t="s">
        <v>349</v>
      </c>
      <c r="C4" s="63" t="s">
        <v>349</v>
      </c>
    </row>
    <row r="5" spans="1:3" ht="15.75" customHeight="1">
      <c r="A5" s="4" t="s">
        <v>2</v>
      </c>
      <c r="B5" s="18" t="s">
        <v>346</v>
      </c>
      <c r="C5" s="18" t="s">
        <v>346</v>
      </c>
    </row>
    <row r="6" spans="1:3" ht="15.75" customHeight="1">
      <c r="A6" s="4" t="s">
        <v>243</v>
      </c>
      <c r="B6" s="18">
        <v>1600</v>
      </c>
      <c r="C6" s="18">
        <v>1600</v>
      </c>
    </row>
    <row r="7" spans="1:3" ht="15.75" customHeight="1">
      <c r="A7" s="4" t="s">
        <v>38</v>
      </c>
      <c r="B7" s="18"/>
      <c r="C7" s="18"/>
    </row>
    <row r="8" spans="1:3" ht="15.75" customHeight="1">
      <c r="A8" s="4" t="s">
        <v>39</v>
      </c>
      <c r="B8" s="18"/>
      <c r="C8" s="18"/>
    </row>
    <row r="9" spans="1:3" ht="15.75" customHeight="1">
      <c r="A9" s="4" t="s">
        <v>40</v>
      </c>
      <c r="B9" s="18"/>
      <c r="C9" s="18"/>
    </row>
    <row r="10" spans="1:3" ht="22.5" customHeight="1">
      <c r="A10" s="4" t="s">
        <v>41</v>
      </c>
      <c r="B10" s="198" t="s">
        <v>347</v>
      </c>
      <c r="C10" s="198" t="s">
        <v>347</v>
      </c>
    </row>
    <row r="11" spans="1:3" ht="22.5" customHeight="1">
      <c r="A11" s="4" t="s">
        <v>42</v>
      </c>
      <c r="B11" s="198" t="s">
        <v>348</v>
      </c>
      <c r="C11" s="198" t="s">
        <v>348</v>
      </c>
    </row>
    <row r="12" spans="1:3" ht="22.5" customHeight="1">
      <c r="A12" s="4" t="s">
        <v>244</v>
      </c>
      <c r="B12" s="198"/>
      <c r="C12" s="198"/>
    </row>
    <row r="13" spans="1:3" ht="22.5" customHeight="1">
      <c r="A13" s="4" t="s">
        <v>43</v>
      </c>
      <c r="B13" s="198"/>
      <c r="C13" s="198"/>
    </row>
    <row r="14" spans="1:3" ht="15.75" customHeight="1">
      <c r="A14" s="4" t="s">
        <v>44</v>
      </c>
      <c r="B14" s="19">
        <v>24</v>
      </c>
      <c r="C14" s="19">
        <v>24</v>
      </c>
    </row>
    <row r="15" spans="1:3" ht="15.75" customHeight="1">
      <c r="A15" s="4" t="s">
        <v>45</v>
      </c>
      <c r="B15" s="20">
        <v>1.3</v>
      </c>
      <c r="C15" s="20">
        <v>1.3</v>
      </c>
    </row>
    <row r="16" spans="1:3" ht="15.75" customHeight="1">
      <c r="A16" s="4" t="s">
        <v>46</v>
      </c>
      <c r="B16" s="27">
        <f>B14/B15</f>
        <v>18.46153846153846</v>
      </c>
      <c r="C16" s="27">
        <f>C14/C15</f>
        <v>18.46153846153846</v>
      </c>
    </row>
    <row r="17" spans="1:3" ht="15.75" customHeight="1">
      <c r="A17" s="4" t="s">
        <v>47</v>
      </c>
      <c r="B17" s="18">
        <f>345*1.2</f>
        <v>414</v>
      </c>
      <c r="C17" s="18">
        <f>345*1.2</f>
        <v>414</v>
      </c>
    </row>
    <row r="18" spans="1:3" ht="15.75" customHeight="1">
      <c r="A18" s="4" t="s">
        <v>48</v>
      </c>
      <c r="B18" s="20">
        <v>1</v>
      </c>
      <c r="C18" s="20">
        <v>1</v>
      </c>
    </row>
    <row r="19" spans="1:3" ht="15.75" customHeight="1">
      <c r="A19" s="4" t="s">
        <v>49</v>
      </c>
      <c r="B19" s="28">
        <f>B17/B18</f>
        <v>414</v>
      </c>
      <c r="C19" s="28">
        <f>C17/C18</f>
        <v>414</v>
      </c>
    </row>
    <row r="20" spans="1:3" ht="15.75" customHeight="1">
      <c r="A20" s="4" t="s">
        <v>50</v>
      </c>
      <c r="B20" s="72">
        <v>11011</v>
      </c>
      <c r="C20" s="72">
        <v>11011</v>
      </c>
    </row>
    <row r="21" spans="1:3" ht="15.75" customHeight="1">
      <c r="A21" s="4" t="s">
        <v>54</v>
      </c>
      <c r="B21" s="19">
        <v>8692</v>
      </c>
      <c r="C21" s="19">
        <v>8963.4</v>
      </c>
    </row>
    <row r="22" spans="1:3" ht="15.75" hidden="1" customHeight="1" outlineLevel="1">
      <c r="A22" s="4" t="s">
        <v>53</v>
      </c>
      <c r="B22" s="34">
        <v>18156.55078125</v>
      </c>
      <c r="C22" s="34">
        <v>18156.55078125</v>
      </c>
    </row>
    <row r="23" spans="1:3" ht="15.75" hidden="1" customHeight="1" outlineLevel="1">
      <c r="A23" s="4" t="s">
        <v>52</v>
      </c>
      <c r="B23" s="32">
        <f>B31*B21/B22</f>
        <v>0.47872528789862989</v>
      </c>
      <c r="C23" s="32">
        <f>C31*C21/C22</f>
        <v>0.49367306092390462</v>
      </c>
    </row>
    <row r="24" spans="1:3" ht="15.75" hidden="1" customHeight="1" outlineLevel="1">
      <c r="A24" s="4" t="s">
        <v>55</v>
      </c>
      <c r="B24" s="29" t="str">
        <f>IF(B23&lt;1,"OK","NG")</f>
        <v>OK</v>
      </c>
      <c r="C24" s="29" t="str">
        <f>IF(C23&lt;1,"OK","NG")</f>
        <v>OK</v>
      </c>
    </row>
    <row r="25" spans="1:3" ht="15.75" customHeight="1" collapsed="1">
      <c r="A25" s="4" t="s">
        <v>56</v>
      </c>
      <c r="B25" s="141">
        <v>3.5000001080334187E-3</v>
      </c>
      <c r="C25" s="141">
        <v>3.5000001080334187E-3</v>
      </c>
    </row>
    <row r="26" spans="1:3" ht="15.75" customHeight="1">
      <c r="A26" s="4" t="s">
        <v>229</v>
      </c>
      <c r="B26" s="141">
        <v>3.3101153094321489E-3</v>
      </c>
      <c r="C26" s="141">
        <v>3.2650702632963657E-3</v>
      </c>
    </row>
    <row r="27" spans="1:3" ht="15.75" customHeight="1">
      <c r="A27" s="4" t="s">
        <v>57</v>
      </c>
      <c r="B27" s="34">
        <v>730.08782958984375</v>
      </c>
      <c r="C27" s="34">
        <v>734.9490966796875</v>
      </c>
    </row>
    <row r="28" spans="1:3" ht="15.75" customHeight="1">
      <c r="A28" s="4" t="s">
        <v>58</v>
      </c>
      <c r="B28" s="34">
        <v>20085.83984375</v>
      </c>
      <c r="C28" s="34">
        <v>20100.73046875</v>
      </c>
    </row>
    <row r="29" spans="1:3" ht="15.75" customHeight="1">
      <c r="A29" s="4" t="s">
        <v>59</v>
      </c>
      <c r="B29" s="62">
        <v>1</v>
      </c>
      <c r="C29" s="62">
        <v>1</v>
      </c>
    </row>
    <row r="30" spans="1:3" ht="15.75" customHeight="1">
      <c r="A30" s="4" t="s">
        <v>60</v>
      </c>
      <c r="B30" s="77">
        <f>B28/B29</f>
        <v>20085.83984375</v>
      </c>
      <c r="C30" s="77">
        <f>C28/C29</f>
        <v>20100.73046875</v>
      </c>
    </row>
    <row r="31" spans="1:3" ht="15.75" customHeight="1">
      <c r="A31" s="4" t="s">
        <v>61</v>
      </c>
      <c r="B31" s="62">
        <v>1</v>
      </c>
      <c r="C31" s="62">
        <v>1</v>
      </c>
    </row>
    <row r="32" spans="1:3" ht="15.75" customHeight="1">
      <c r="A32" s="4" t="s">
        <v>62</v>
      </c>
      <c r="B32" s="32">
        <f>B31*B20/B30</f>
        <v>0.54819714214868798</v>
      </c>
      <c r="C32" s="32">
        <f>C31*C20/C30</f>
        <v>0.54779103760027381</v>
      </c>
    </row>
    <row r="33" spans="1:3" ht="15.75" customHeight="1">
      <c r="A33" s="5" t="s">
        <v>63</v>
      </c>
      <c r="B33" s="31" t="str">
        <f>IF(B32&lt;1,"OK","NG")</f>
        <v>OK</v>
      </c>
      <c r="C33" s="31" t="str">
        <f>IF(C32&lt;1,"OK","NG")</f>
        <v>OK</v>
      </c>
    </row>
  </sheetData>
  <phoneticPr fontId="2"/>
  <dataValidations count="2">
    <dataValidation type="list" showInputMessage="1" showErrorMessage="1" sqref="B5:C5">
      <formula1>"矩形,円形,Ｔ形,逆T形,小判形"</formula1>
    </dataValidation>
    <dataValidation type="decimal" operator="greaterThanOrEqual" allowBlank="1" showInputMessage="1" showErrorMessage="1" sqref="B20:C20">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05.曲げ終局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B58"/>
  <sheetViews>
    <sheetView showGridLines="0" view="pageBreakPreview" zoomScale="115" zoomScaleNormal="115" zoomScaleSheetLayoutView="115" workbookViewId="0">
      <selection activeCell="G18" sqref="G18"/>
    </sheetView>
  </sheetViews>
  <sheetFormatPr defaultColWidth="13.875" defaultRowHeight="12.75" customHeight="1"/>
  <cols>
    <col min="1" max="1" width="16.625" style="6" bestFit="1" customWidth="1"/>
    <col min="2" max="2" width="12.75" style="7" customWidth="1"/>
    <col min="3" max="16384" width="13.875" style="7"/>
  </cols>
  <sheetData>
    <row r="1" spans="1:2" ht="15.75" customHeight="1"/>
    <row r="2" spans="1:2" ht="12.75" customHeight="1">
      <c r="A2" s="7" t="s">
        <v>117</v>
      </c>
    </row>
    <row r="3" spans="1:2" ht="12.75" customHeight="1">
      <c r="A3" s="8" t="s">
        <v>0</v>
      </c>
      <c r="B3" s="64" t="s">
        <v>241</v>
      </c>
    </row>
    <row r="4" spans="1:2" ht="12.75" customHeight="1">
      <c r="A4" s="9" t="s">
        <v>1</v>
      </c>
      <c r="B4" s="63" t="s">
        <v>242</v>
      </c>
    </row>
    <row r="5" spans="1:2" ht="12.75" customHeight="1">
      <c r="A5" s="9" t="s">
        <v>2</v>
      </c>
      <c r="B5" s="18" t="s">
        <v>225</v>
      </c>
    </row>
    <row r="6" spans="1:2" ht="12.75" customHeight="1">
      <c r="A6" s="9" t="s">
        <v>243</v>
      </c>
      <c r="B6" s="18">
        <v>917</v>
      </c>
    </row>
    <row r="7" spans="1:2" ht="12.75" customHeight="1">
      <c r="A7" s="9" t="s">
        <v>38</v>
      </c>
      <c r="B7" s="18"/>
    </row>
    <row r="8" spans="1:2" ht="12.75" customHeight="1">
      <c r="A8" s="9" t="s">
        <v>39</v>
      </c>
      <c r="B8" s="18"/>
    </row>
    <row r="9" spans="1:2" ht="12.75" customHeight="1">
      <c r="A9" s="9" t="s">
        <v>40</v>
      </c>
      <c r="B9" s="18">
        <v>1000</v>
      </c>
    </row>
    <row r="10" spans="1:2" ht="12.75" customHeight="1">
      <c r="A10" s="10" t="s">
        <v>41</v>
      </c>
      <c r="B10" s="145" t="s">
        <v>332</v>
      </c>
    </row>
    <row r="11" spans="1:2" ht="12.75" customHeight="1">
      <c r="A11" s="12" t="s">
        <v>42</v>
      </c>
      <c r="B11" s="146">
        <v>90</v>
      </c>
    </row>
    <row r="12" spans="1:2" ht="12.75" customHeight="1">
      <c r="A12" s="10" t="s">
        <v>244</v>
      </c>
      <c r="B12" s="42" t="s">
        <v>336</v>
      </c>
    </row>
    <row r="13" spans="1:2" ht="12.75" customHeight="1">
      <c r="A13" s="12" t="s">
        <v>43</v>
      </c>
      <c r="B13" s="44">
        <v>233.3</v>
      </c>
    </row>
    <row r="14" spans="1:2" ht="12.75" customHeight="1">
      <c r="A14" s="12" t="s">
        <v>104</v>
      </c>
      <c r="B14" s="44"/>
    </row>
    <row r="15" spans="1:2" ht="12.75" customHeight="1">
      <c r="A15" s="10" t="s">
        <v>44</v>
      </c>
      <c r="B15" s="45">
        <v>24</v>
      </c>
    </row>
    <row r="16" spans="1:2" ht="12.75" customHeight="1">
      <c r="A16" s="11" t="s">
        <v>45</v>
      </c>
      <c r="B16" s="46">
        <v>1.3</v>
      </c>
    </row>
    <row r="17" spans="1:2" ht="12.75" customHeight="1">
      <c r="A17" s="12" t="s">
        <v>46</v>
      </c>
      <c r="B17" s="61">
        <f>B15/B16</f>
        <v>18.46153846153846</v>
      </c>
    </row>
    <row r="18" spans="1:2" ht="12.75" customHeight="1">
      <c r="A18" s="11" t="s">
        <v>47</v>
      </c>
      <c r="B18" s="43">
        <v>345</v>
      </c>
    </row>
    <row r="19" spans="1:2" ht="12.75" customHeight="1">
      <c r="A19" s="11" t="s">
        <v>48</v>
      </c>
      <c r="B19" s="46">
        <v>1</v>
      </c>
    </row>
    <row r="20" spans="1:2" ht="12.75" customHeight="1">
      <c r="A20" s="12" t="s">
        <v>49</v>
      </c>
      <c r="B20" s="48">
        <f>B18/B19</f>
        <v>345</v>
      </c>
    </row>
    <row r="21" spans="1:2" ht="12.75" customHeight="1">
      <c r="A21" s="10" t="s">
        <v>118</v>
      </c>
      <c r="B21" s="78"/>
    </row>
    <row r="22" spans="1:2" ht="12.75" customHeight="1">
      <c r="A22" s="12" t="s">
        <v>119</v>
      </c>
      <c r="B22" s="79"/>
    </row>
    <row r="23" spans="1:2" ht="12.75" customHeight="1">
      <c r="A23" s="9" t="s">
        <v>120</v>
      </c>
      <c r="B23" s="72">
        <v>183.8</v>
      </c>
    </row>
    <row r="24" spans="1:2" ht="12.75" customHeight="1">
      <c r="A24" s="9" t="s">
        <v>112</v>
      </c>
      <c r="B24" s="19">
        <v>139</v>
      </c>
    </row>
    <row r="25" spans="1:2" ht="12.75" customHeight="1">
      <c r="A25" s="9" t="s">
        <v>113</v>
      </c>
      <c r="B25" s="72">
        <v>360.2</v>
      </c>
    </row>
    <row r="26" spans="1:2" ht="12.75" customHeight="1">
      <c r="A26" s="10" t="s">
        <v>56</v>
      </c>
      <c r="B26" s="142">
        <v>3.5000001080334187E-3</v>
      </c>
    </row>
    <row r="27" spans="1:2" ht="12.75" customHeight="1">
      <c r="A27" s="11" t="s">
        <v>121</v>
      </c>
      <c r="B27" s="143">
        <v>1.1495993472635746E-2</v>
      </c>
    </row>
    <row r="28" spans="1:2" ht="12.75" customHeight="1">
      <c r="A28" s="11" t="s">
        <v>122</v>
      </c>
      <c r="B28" s="58">
        <v>193.01821899414062</v>
      </c>
    </row>
    <row r="29" spans="1:2" ht="12.75" customHeight="1">
      <c r="A29" s="12" t="s">
        <v>123</v>
      </c>
      <c r="B29" s="57">
        <v>1002.72998046875</v>
      </c>
    </row>
    <row r="30" spans="1:2" ht="12.75" customHeight="1">
      <c r="A30" s="10" t="s">
        <v>105</v>
      </c>
      <c r="B30" s="68">
        <v>794.4</v>
      </c>
    </row>
    <row r="31" spans="1:2" ht="12.75" customHeight="1">
      <c r="A31" s="11" t="s">
        <v>106</v>
      </c>
      <c r="B31" s="70"/>
    </row>
    <row r="32" spans="1:2" ht="12.75" customHeight="1">
      <c r="A32" s="11" t="s">
        <v>107</v>
      </c>
      <c r="B32" s="70">
        <v>345</v>
      </c>
    </row>
    <row r="33" spans="1:2" ht="12.75" customHeight="1">
      <c r="A33" s="12" t="s">
        <v>108</v>
      </c>
      <c r="B33" s="69"/>
    </row>
    <row r="34" spans="1:2" ht="12.75" customHeight="1">
      <c r="A34" s="10" t="s">
        <v>109</v>
      </c>
      <c r="B34" s="68">
        <v>90</v>
      </c>
    </row>
    <row r="35" spans="1:2" ht="12.75" customHeight="1">
      <c r="A35" s="11" t="s">
        <v>159</v>
      </c>
      <c r="B35" s="70"/>
    </row>
    <row r="36" spans="1:2" ht="12.75" customHeight="1">
      <c r="A36" s="11" t="s">
        <v>110</v>
      </c>
      <c r="B36" s="70">
        <v>125</v>
      </c>
    </row>
    <row r="37" spans="1:2" ht="12.75" customHeight="1">
      <c r="A37" s="11" t="s">
        <v>111</v>
      </c>
      <c r="B37" s="70"/>
    </row>
    <row r="38" spans="1:2" ht="12.75" customHeight="1">
      <c r="A38" s="12" t="s">
        <v>124</v>
      </c>
      <c r="B38" s="59">
        <f>MIN(0.2*(B17)^(1/3),0.72)</f>
        <v>0.528590425204984</v>
      </c>
    </row>
    <row r="39" spans="1:2" ht="12.75" customHeight="1">
      <c r="A39" s="10" t="s">
        <v>114</v>
      </c>
      <c r="B39" s="49">
        <f>MIN((1000/dc(B5,B6,B9,B10,B11))^(1/4),1.5)</f>
        <v>1.0486332462152452</v>
      </c>
    </row>
    <row r="40" spans="1:2" ht="12.75" customHeight="1">
      <c r="A40" s="11" t="s">
        <v>115</v>
      </c>
      <c r="B40" s="51">
        <f>Ass(B5,B6,B9,B10)/(B9*dc(B5,B6,B9,B10,B11))</f>
        <v>3.5199418903982768E-3</v>
      </c>
    </row>
    <row r="41" spans="1:2" ht="12.75" customHeight="1">
      <c r="A41" s="11" t="s">
        <v>116</v>
      </c>
      <c r="B41" s="50">
        <f>MIN((100*B40)^(1/3),1.5)</f>
        <v>0.70606578168141332</v>
      </c>
    </row>
    <row r="42" spans="1:2" ht="12.75" customHeight="1">
      <c r="A42" s="12" t="s">
        <v>125</v>
      </c>
      <c r="B42" s="60">
        <f>B24*hc(B5,B6,B9)/6000</f>
        <v>21.243833333333335</v>
      </c>
    </row>
    <row r="43" spans="1:2" ht="12.75" customHeight="1">
      <c r="A43" s="11" t="s">
        <v>126</v>
      </c>
      <c r="B43" s="80">
        <f>IF(B24&gt;=0,MIN(1+2*B42/B29,2),MAX(1+4*B42/B29,0))</f>
        <v>1.0423719919562042</v>
      </c>
    </row>
    <row r="44" spans="1:2" ht="12.75" customHeight="1">
      <c r="A44" s="11" t="s">
        <v>127</v>
      </c>
      <c r="B44" s="73">
        <v>1.3</v>
      </c>
    </row>
    <row r="45" spans="1:2" ht="12.75" customHeight="1">
      <c r="A45" s="12" t="s">
        <v>128</v>
      </c>
      <c r="B45" s="75">
        <f>B39*B41*B43*B38*bc(B5,B6,B9)*dc(B5,B6,B9,B10,B11)/B44/1000</f>
        <v>259.52127740279229</v>
      </c>
    </row>
    <row r="46" spans="1:2" ht="12.75" customHeight="1">
      <c r="A46" s="10" t="s">
        <v>91</v>
      </c>
      <c r="B46" s="81">
        <v>1.1000000000000001</v>
      </c>
    </row>
    <row r="47" spans="1:2" ht="12.75" customHeight="1">
      <c r="A47" s="11" t="s">
        <v>129</v>
      </c>
      <c r="B47" s="74">
        <f>(IF(B36=0,0,B30*B32*(SIN(RADIANS(B34))+COS(RADIANS(B34)))/B36)+IF(B37=0,0,B31*B33*(SIN(RADIANS(B35))+COS(RADIANS(B35)))/B37))*(dc(B5,B6,B9,B10,B11)/1.15)/B46/1000</f>
        <v>1433.3864727272726</v>
      </c>
    </row>
    <row r="48" spans="1:2" ht="12.75" customHeight="1">
      <c r="A48" s="11" t="s">
        <v>130</v>
      </c>
      <c r="B48" s="74"/>
    </row>
    <row r="49" spans="1:2" ht="12.75" customHeight="1">
      <c r="A49" s="11" t="s">
        <v>344</v>
      </c>
      <c r="B49" s="74">
        <f>B45+B47</f>
        <v>1692.9077501300649</v>
      </c>
    </row>
    <row r="50" spans="1:2" ht="12.75" customHeight="1">
      <c r="A50" s="11" t="s">
        <v>131</v>
      </c>
      <c r="B50" s="73">
        <v>1.2</v>
      </c>
    </row>
    <row r="51" spans="1:2" ht="12.75" customHeight="1">
      <c r="A51" s="12" t="s">
        <v>132</v>
      </c>
      <c r="B51" s="82">
        <f>B50*B25/B49</f>
        <v>0.25532401276253314</v>
      </c>
    </row>
    <row r="52" spans="1:2" ht="12.75" customHeight="1">
      <c r="A52" s="10" t="s">
        <v>55</v>
      </c>
      <c r="B52" s="28" t="str">
        <f>IF(B51&lt;1,"OK","NG")</f>
        <v>OK</v>
      </c>
    </row>
    <row r="53" spans="1:2" ht="12.75" customHeight="1">
      <c r="A53" s="10" t="s">
        <v>133</v>
      </c>
      <c r="B53" s="83">
        <f>MIN(1.25*(B17)^(1/2),7.8)</f>
        <v>5.3708615552957459</v>
      </c>
    </row>
    <row r="54" spans="1:2" ht="12.75" customHeight="1">
      <c r="A54" s="11" t="s">
        <v>134</v>
      </c>
      <c r="B54" s="73">
        <v>1.3</v>
      </c>
    </row>
    <row r="55" spans="1:2" ht="12.75" customHeight="1">
      <c r="A55" s="11" t="s">
        <v>135</v>
      </c>
      <c r="B55" s="74">
        <f>B53*bc(B5,B6,B9)*dc(B5,B6,B9,B10,B11)/B54/1000</f>
        <v>3416.6942355612173</v>
      </c>
    </row>
    <row r="56" spans="1:2" ht="12.75" customHeight="1">
      <c r="A56" s="11" t="s">
        <v>131</v>
      </c>
      <c r="B56" s="73">
        <v>1.2</v>
      </c>
    </row>
    <row r="57" spans="1:2" ht="12.75" customHeight="1">
      <c r="A57" s="11" t="s">
        <v>136</v>
      </c>
      <c r="B57" s="82">
        <f>B56*B25/B55</f>
        <v>0.12650824750462381</v>
      </c>
    </row>
    <row r="58" spans="1:2" ht="12.75" customHeight="1">
      <c r="A58" s="13" t="s">
        <v>137</v>
      </c>
      <c r="B58" s="31" t="str">
        <f>IF(B57&lt;1,"OK","NG")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3">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Sheet06.終局せん断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2:C47"/>
  <sheetViews>
    <sheetView tabSelected="1" view="pageBreakPreview" zoomScaleNormal="100" zoomScaleSheetLayoutView="100" workbookViewId="0">
      <selection activeCell="I20" sqref="I20"/>
    </sheetView>
  </sheetViews>
  <sheetFormatPr defaultColWidth="13.875" defaultRowHeight="15.75" customHeight="1"/>
  <cols>
    <col min="1" max="1" width="16.625" style="26" bestFit="1" customWidth="1"/>
    <col min="2" max="3" width="12.75" style="21" customWidth="1"/>
    <col min="4" max="16384" width="13.875" style="21"/>
  </cols>
  <sheetData>
    <row r="2" spans="1:3" ht="15.75" customHeight="1">
      <c r="A2" s="22" t="s">
        <v>228</v>
      </c>
    </row>
    <row r="3" spans="1:3" ht="15.75" customHeight="1">
      <c r="A3" s="23" t="s">
        <v>0</v>
      </c>
      <c r="B3" s="64" t="s">
        <v>223</v>
      </c>
      <c r="C3" s="64" t="s">
        <v>223</v>
      </c>
    </row>
    <row r="4" spans="1:3" ht="15.75" customHeight="1">
      <c r="A4" s="24" t="s">
        <v>1</v>
      </c>
      <c r="B4" s="63" t="s">
        <v>224</v>
      </c>
      <c r="C4" s="63" t="s">
        <v>224</v>
      </c>
    </row>
    <row r="5" spans="1:3" ht="15.75" customHeight="1">
      <c r="A5" s="24" t="s">
        <v>2</v>
      </c>
      <c r="B5" s="18" t="s">
        <v>245</v>
      </c>
      <c r="C5" s="18" t="s">
        <v>245</v>
      </c>
    </row>
    <row r="6" spans="1:3" ht="15.75" customHeight="1">
      <c r="A6" s="24" t="s">
        <v>243</v>
      </c>
      <c r="B6" s="18">
        <v>1800</v>
      </c>
      <c r="C6" s="18">
        <v>1800</v>
      </c>
    </row>
    <row r="7" spans="1:3" ht="15.75" customHeight="1">
      <c r="A7" s="24" t="s">
        <v>11</v>
      </c>
      <c r="B7" s="18"/>
      <c r="C7" s="18"/>
    </row>
    <row r="8" spans="1:3" ht="15.75" customHeight="1">
      <c r="A8" s="24" t="s">
        <v>12</v>
      </c>
      <c r="B8" s="18"/>
      <c r="C8" s="18"/>
    </row>
    <row r="9" spans="1:3" ht="15.75" customHeight="1">
      <c r="A9" s="24" t="s">
        <v>13</v>
      </c>
      <c r="B9" s="18">
        <v>1500</v>
      </c>
      <c r="C9" s="18">
        <v>1500</v>
      </c>
    </row>
    <row r="10" spans="1:3" ht="15.75" customHeight="1">
      <c r="A10" s="24" t="s">
        <v>14</v>
      </c>
      <c r="B10" s="144" t="s">
        <v>341</v>
      </c>
      <c r="C10" s="144" t="s">
        <v>341</v>
      </c>
    </row>
    <row r="11" spans="1:3" ht="15.75" customHeight="1">
      <c r="A11" s="24" t="s">
        <v>3</v>
      </c>
      <c r="B11" s="144">
        <v>85</v>
      </c>
      <c r="C11" s="144">
        <v>85</v>
      </c>
    </row>
    <row r="12" spans="1:3" ht="15.75" customHeight="1">
      <c r="A12" s="11" t="s">
        <v>244</v>
      </c>
      <c r="B12" s="18" t="s">
        <v>342</v>
      </c>
      <c r="C12" s="18" t="s">
        <v>342</v>
      </c>
    </row>
    <row r="13" spans="1:3" ht="15.75" customHeight="1">
      <c r="A13" s="24" t="s">
        <v>4</v>
      </c>
      <c r="B13" s="18">
        <v>108.3</v>
      </c>
      <c r="C13" s="18">
        <v>108.3</v>
      </c>
    </row>
    <row r="14" spans="1:3" ht="15.75" customHeight="1">
      <c r="A14" s="24" t="s">
        <v>15</v>
      </c>
      <c r="B14" s="19">
        <v>27</v>
      </c>
      <c r="C14" s="19">
        <v>27</v>
      </c>
    </row>
    <row r="15" spans="1:3" ht="15.75" customHeight="1">
      <c r="A15" s="24" t="s">
        <v>7</v>
      </c>
      <c r="B15" s="20">
        <v>1</v>
      </c>
      <c r="C15" s="20">
        <v>1</v>
      </c>
    </row>
    <row r="16" spans="1:3" ht="15.75" customHeight="1">
      <c r="A16" s="24" t="s">
        <v>16</v>
      </c>
      <c r="B16" s="27">
        <f>B14/B15</f>
        <v>27</v>
      </c>
      <c r="C16" s="27">
        <f>C14/C15</f>
        <v>27</v>
      </c>
    </row>
    <row r="17" spans="1:3" ht="15.75" customHeight="1">
      <c r="A17" s="24" t="s">
        <v>17</v>
      </c>
      <c r="B17" s="18">
        <v>345</v>
      </c>
      <c r="C17" s="18">
        <v>345</v>
      </c>
    </row>
    <row r="18" spans="1:3" ht="15.75" customHeight="1">
      <c r="A18" s="24" t="s">
        <v>8</v>
      </c>
      <c r="B18" s="20">
        <v>1</v>
      </c>
      <c r="C18" s="20">
        <v>1</v>
      </c>
    </row>
    <row r="19" spans="1:3" ht="15.75" customHeight="1">
      <c r="A19" s="24" t="s">
        <v>18</v>
      </c>
      <c r="B19" s="28">
        <f>B17/B18</f>
        <v>345</v>
      </c>
      <c r="C19" s="28">
        <f>C17/C18</f>
        <v>345</v>
      </c>
    </row>
    <row r="20" spans="1:3" ht="15.75" customHeight="1">
      <c r="A20" s="24" t="s">
        <v>5</v>
      </c>
      <c r="B20" s="63" t="s">
        <v>226</v>
      </c>
      <c r="C20" s="63" t="s">
        <v>226</v>
      </c>
    </row>
    <row r="21" spans="1:3" ht="15.75" customHeight="1">
      <c r="A21" s="24" t="s">
        <v>19</v>
      </c>
      <c r="B21" s="19">
        <v>3815.9</v>
      </c>
      <c r="C21" s="19">
        <v>3815.9</v>
      </c>
    </row>
    <row r="22" spans="1:3" ht="15.75" customHeight="1">
      <c r="A22" s="24" t="s">
        <v>20</v>
      </c>
      <c r="B22" s="19">
        <v>0</v>
      </c>
      <c r="C22" s="19">
        <v>0</v>
      </c>
    </row>
    <row r="23" spans="1:3" ht="15.75" customHeight="1">
      <c r="A23" s="24" t="s">
        <v>100</v>
      </c>
      <c r="B23" s="72">
        <f>dc(B5,B6,B9,B10,B11)</f>
        <v>1715</v>
      </c>
      <c r="C23" s="72">
        <f>dc(C5,C6,C9,C10,C11)</f>
        <v>1715</v>
      </c>
    </row>
    <row r="24" spans="1:3" ht="15.75" customHeight="1">
      <c r="A24" s="24" t="s">
        <v>21</v>
      </c>
      <c r="B24" s="33">
        <v>4.7109875679016113</v>
      </c>
      <c r="C24" s="33">
        <v>4.7109875679016113</v>
      </c>
    </row>
    <row r="25" spans="1:3" ht="15.75" customHeight="1">
      <c r="A25" s="24" t="s">
        <v>22</v>
      </c>
      <c r="B25" s="29">
        <f>GetLinearZ(B16,B6/1000,{"",24,27,30,40,50,60,80},{0.25,3.9,4.1,4.4,5.2,5.8,6.5,7.6},{0.5,2.9,3.1,3.3,3.9,4.5,5,5.9},{1,2.2,2.4,2.6,3.1,3.5,4,4.7},{2,1.8,1.9,2.1,2.5,2.9,3.2,3.9})</f>
        <v>2</v>
      </c>
      <c r="C25" s="29">
        <f>GetLinearZ(C16,C6/1000,{"",24,27,30,40,50,60,80},{0.25,3.9,4.1,4.4,5.2,5.8,6.5,7.6},{0.5,2.9,3.1,3.3,3.9,4.5,5,5.9},{1,2.2,2.4,2.6,3.1,3.5,4,4.7},{2,1.8,1.9,2.1,2.5,2.9,3.2,3.9})</f>
        <v>2</v>
      </c>
    </row>
    <row r="26" spans="1:3" ht="15.75" customHeight="1">
      <c r="A26" s="24" t="s">
        <v>23</v>
      </c>
      <c r="B26" s="29" t="str">
        <f>IF(B24&lt;B25,"σct≦σbl","σct＞σbl")</f>
        <v>σct＞σbl</v>
      </c>
      <c r="C26" s="29" t="str">
        <f>IF(C24&lt;C25,"σct≦σbl","σct＞σbl")</f>
        <v>σct＞σbl</v>
      </c>
    </row>
    <row r="27" spans="1:3" ht="15.75" customHeight="1">
      <c r="A27" s="24" t="s">
        <v>24</v>
      </c>
      <c r="B27" s="19">
        <v>2241.8000000000002</v>
      </c>
      <c r="C27" s="19">
        <v>2241.8000000000002</v>
      </c>
    </row>
    <row r="28" spans="1:3" ht="15.75" customHeight="1">
      <c r="A28" s="24" t="s">
        <v>25</v>
      </c>
      <c r="B28" s="19">
        <v>0</v>
      </c>
      <c r="C28" s="19">
        <v>0</v>
      </c>
    </row>
    <row r="29" spans="1:3" ht="15.75" customHeight="1">
      <c r="A29" s="24" t="s">
        <v>26</v>
      </c>
      <c r="B29" s="33">
        <v>125.73014068603516</v>
      </c>
      <c r="C29" s="33">
        <v>125.73014068603516</v>
      </c>
    </row>
    <row r="30" spans="1:3" ht="15.75" customHeight="1">
      <c r="A30" s="24" t="s">
        <v>27</v>
      </c>
      <c r="B30" s="62">
        <v>140</v>
      </c>
      <c r="C30" s="62">
        <v>140</v>
      </c>
    </row>
    <row r="31" spans="1:3" ht="15.75" customHeight="1">
      <c r="A31" s="24" t="s">
        <v>28</v>
      </c>
      <c r="B31" s="30" t="str">
        <f>IF(B24&lt;B25,B29/B30,"")</f>
        <v/>
      </c>
      <c r="C31" s="30" t="str">
        <f>IF(C24&lt;C25,C29/C30,"")</f>
        <v/>
      </c>
    </row>
    <row r="32" spans="1:3" ht="15.75" customHeight="1">
      <c r="A32" s="24" t="s">
        <v>29</v>
      </c>
      <c r="B32" s="29" t="str">
        <f>IF(B31&lt;1,"OK","")</f>
        <v/>
      </c>
      <c r="C32" s="29" t="str">
        <f>IF(C31&lt;1,"OK","")</f>
        <v/>
      </c>
    </row>
    <row r="33" spans="1:3" ht="15.75" customHeight="1">
      <c r="A33" s="24" t="s">
        <v>30</v>
      </c>
      <c r="B33" s="33">
        <v>7.5471696853637695</v>
      </c>
      <c r="C33" s="33">
        <v>7.5471696853637695</v>
      </c>
    </row>
    <row r="34" spans="1:3" ht="15.75" customHeight="1">
      <c r="A34" s="24" t="s">
        <v>31</v>
      </c>
      <c r="B34" s="33">
        <v>125.73014068603516</v>
      </c>
      <c r="C34" s="33">
        <v>125.73014068603516</v>
      </c>
    </row>
    <row r="35" spans="1:3" ht="15.75" customHeight="1">
      <c r="A35" s="24" t="s">
        <v>101</v>
      </c>
      <c r="B35" s="63">
        <v>79</v>
      </c>
      <c r="C35" s="63">
        <v>79</v>
      </c>
    </row>
    <row r="36" spans="1:3" ht="15.75" customHeight="1">
      <c r="A36" s="24" t="s">
        <v>102</v>
      </c>
      <c r="B36" s="63">
        <v>125</v>
      </c>
      <c r="C36" s="63">
        <v>125</v>
      </c>
    </row>
    <row r="37" spans="1:3" ht="15.75" customHeight="1">
      <c r="A37" s="24" t="s">
        <v>32</v>
      </c>
      <c r="B37" s="63">
        <v>32</v>
      </c>
      <c r="C37" s="63">
        <v>32</v>
      </c>
    </row>
    <row r="38" spans="1:3" ht="15.75" customHeight="1">
      <c r="A38" s="24" t="s">
        <v>33</v>
      </c>
      <c r="B38" s="63">
        <v>300</v>
      </c>
      <c r="C38" s="63">
        <v>300</v>
      </c>
    </row>
    <row r="39" spans="1:3" ht="15.75" customHeight="1">
      <c r="A39" s="24" t="s">
        <v>9</v>
      </c>
      <c r="B39" s="67">
        <v>1</v>
      </c>
      <c r="C39" s="67">
        <v>1</v>
      </c>
    </row>
    <row r="40" spans="1:3" ht="15.75" customHeight="1">
      <c r="A40" s="24" t="s">
        <v>10</v>
      </c>
      <c r="B40" s="67">
        <v>1.0409999999999999</v>
      </c>
      <c r="C40" s="67">
        <v>1.0409999999999999</v>
      </c>
    </row>
    <row r="41" spans="1:3" ht="15.75" customHeight="1">
      <c r="A41" s="24" t="s">
        <v>103</v>
      </c>
      <c r="B41" s="63">
        <v>1</v>
      </c>
      <c r="C41" s="63">
        <v>1</v>
      </c>
    </row>
    <row r="42" spans="1:3" ht="15.75" customHeight="1">
      <c r="A42" s="24" t="s">
        <v>34</v>
      </c>
      <c r="B42" s="67">
        <v>1</v>
      </c>
      <c r="C42" s="67">
        <v>1</v>
      </c>
    </row>
    <row r="43" spans="1:3" ht="15.75" customHeight="1">
      <c r="A43" s="24" t="s">
        <v>35</v>
      </c>
      <c r="B43" s="62">
        <v>0.85</v>
      </c>
      <c r="C43" s="62">
        <v>0.85</v>
      </c>
    </row>
    <row r="44" spans="1:3" ht="15.75" customHeight="1">
      <c r="A44" s="24" t="s">
        <v>36</v>
      </c>
      <c r="B44" s="30">
        <f>IF(B32="OK","",1.1*B39*B40*B42*B43*(4*B35+0.7*(B36-B37))*((B34/200000)+(B38/1000000)))</f>
        <v>0.34447180537648536</v>
      </c>
      <c r="C44" s="30">
        <f>IF(C32="OK","",1.1*C39*C40*C42*C43*(4*C35+0.7*(C36-C37))*((C34/200000)+(C38/1000000)))</f>
        <v>0.34447180537648536</v>
      </c>
    </row>
    <row r="45" spans="1:3" ht="15.75" customHeight="1">
      <c r="A45" s="24" t="s">
        <v>37</v>
      </c>
      <c r="B45" s="67">
        <v>0.39500000000000002</v>
      </c>
      <c r="C45" s="67">
        <v>0.39500000000000002</v>
      </c>
    </row>
    <row r="46" spans="1:3" ht="15.75" customHeight="1">
      <c r="A46" s="24" t="s">
        <v>227</v>
      </c>
      <c r="B46" s="30">
        <f>IF(B32="OK","",B44/B45)</f>
        <v>0.8720805199404692</v>
      </c>
      <c r="C46" s="30">
        <f>IF(C32="OK","",C44/C45)</f>
        <v>0.8720805199404692</v>
      </c>
    </row>
    <row r="47" spans="1:3" ht="15.75" customHeight="1">
      <c r="A47" s="25" t="s">
        <v>6</v>
      </c>
      <c r="B47" s="31" t="str">
        <f>IF(B32="OK","",IF(B46&lt;1,"OK","NG"))</f>
        <v>OK</v>
      </c>
      <c r="C47" s="31" t="str">
        <f>IF(C32="OK","",IF(C46&lt;1,"OK","NG"))</f>
        <v>OK</v>
      </c>
    </row>
  </sheetData>
  <phoneticPr fontId="2"/>
  <dataValidations count="3">
    <dataValidation type="list" showInputMessage="1" showErrorMessage="1" sqref="B5:C5">
      <formula1>"矩形,円形,Ｔ形,逆T形,小判形"</formula1>
    </dataValidation>
    <dataValidation type="list" allowBlank="1" showInputMessage="1" showErrorMessage="1" sqref="B20:C20">
      <formula1>"一般の環境,腐食性環境,厳しい腐食性"</formula1>
    </dataValidation>
    <dataValidation type="decimal" operator="greaterThanOrEqual" allowBlank="1" showInputMessage="1" showErrorMessage="1" sqref="B21:C21">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01.曲げ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C58"/>
  <sheetViews>
    <sheetView showGridLines="0" view="pageBreakPreview" zoomScaleNormal="85" zoomScaleSheetLayoutView="100" workbookViewId="0">
      <selection activeCell="D33" sqref="D33"/>
    </sheetView>
  </sheetViews>
  <sheetFormatPr defaultColWidth="13.875" defaultRowHeight="12.75" customHeight="1"/>
  <cols>
    <col min="1" max="1" width="16.625" style="6" bestFit="1" customWidth="1"/>
    <col min="2" max="3" width="12.75" style="7" customWidth="1"/>
    <col min="4" max="16384" width="13.875" style="7"/>
  </cols>
  <sheetData>
    <row r="1" spans="1:3" ht="15.75" customHeight="1"/>
    <row r="2" spans="1:3" ht="12.75" customHeight="1">
      <c r="A2" s="7" t="s">
        <v>65</v>
      </c>
    </row>
    <row r="3" spans="1:3" ht="12.75" customHeight="1">
      <c r="A3" s="8" t="s">
        <v>0</v>
      </c>
      <c r="B3" s="64" t="s">
        <v>241</v>
      </c>
      <c r="C3" s="64" t="s">
        <v>241</v>
      </c>
    </row>
    <row r="4" spans="1:3" ht="12.75" customHeight="1">
      <c r="A4" s="9" t="s">
        <v>1</v>
      </c>
      <c r="B4" s="63" t="s">
        <v>242</v>
      </c>
      <c r="C4" s="63" t="s">
        <v>242</v>
      </c>
    </row>
    <row r="5" spans="1:3" ht="12.75" customHeight="1">
      <c r="A5" s="9" t="s">
        <v>2</v>
      </c>
      <c r="B5" s="18" t="s">
        <v>225</v>
      </c>
      <c r="C5" s="18" t="s">
        <v>225</v>
      </c>
    </row>
    <row r="6" spans="1:3" ht="12.75" customHeight="1">
      <c r="A6" s="9" t="s">
        <v>243</v>
      </c>
      <c r="B6" s="18">
        <v>917</v>
      </c>
      <c r="C6" s="18">
        <v>917</v>
      </c>
    </row>
    <row r="7" spans="1:3" ht="12.75" customHeight="1">
      <c r="A7" s="9" t="s">
        <v>38</v>
      </c>
      <c r="B7" s="18"/>
      <c r="C7" s="18"/>
    </row>
    <row r="8" spans="1:3" ht="12.75" customHeight="1">
      <c r="A8" s="9" t="s">
        <v>39</v>
      </c>
      <c r="B8" s="18"/>
      <c r="C8" s="18"/>
    </row>
    <row r="9" spans="1:3" ht="12.75" customHeight="1">
      <c r="A9" s="9" t="s">
        <v>40</v>
      </c>
      <c r="B9" s="18">
        <v>1000</v>
      </c>
      <c r="C9" s="18">
        <v>1000</v>
      </c>
    </row>
    <row r="10" spans="1:3" ht="12.75" customHeight="1">
      <c r="A10" s="10" t="s">
        <v>41</v>
      </c>
      <c r="B10" s="145" t="s">
        <v>332</v>
      </c>
      <c r="C10" s="145" t="s">
        <v>332</v>
      </c>
    </row>
    <row r="11" spans="1:3" ht="12.75" customHeight="1">
      <c r="A11" s="11" t="s">
        <v>42</v>
      </c>
      <c r="B11" s="146">
        <v>90</v>
      </c>
      <c r="C11" s="146">
        <v>90</v>
      </c>
    </row>
    <row r="12" spans="1:3" ht="12.75" customHeight="1">
      <c r="A12" s="11" t="s">
        <v>244</v>
      </c>
      <c r="B12" s="43"/>
      <c r="C12" s="43"/>
    </row>
    <row r="13" spans="1:3" ht="12.75" customHeight="1">
      <c r="A13" s="11" t="s">
        <v>43</v>
      </c>
      <c r="B13" s="43"/>
      <c r="C13" s="43"/>
    </row>
    <row r="14" spans="1:3" ht="12.75" customHeight="1">
      <c r="A14" s="12" t="s">
        <v>66</v>
      </c>
      <c r="B14" s="44"/>
      <c r="C14" s="44"/>
    </row>
    <row r="15" spans="1:3" ht="12.75" customHeight="1">
      <c r="A15" s="10" t="s">
        <v>44</v>
      </c>
      <c r="B15" s="45">
        <v>24</v>
      </c>
      <c r="C15" s="45">
        <v>24</v>
      </c>
    </row>
    <row r="16" spans="1:3" ht="12.75" customHeight="1">
      <c r="A16" s="11" t="s">
        <v>45</v>
      </c>
      <c r="B16" s="46">
        <v>1</v>
      </c>
      <c r="C16" s="46">
        <v>1</v>
      </c>
    </row>
    <row r="17" spans="1:3" ht="12.75" customHeight="1">
      <c r="A17" s="11" t="s">
        <v>46</v>
      </c>
      <c r="B17" s="47">
        <f>B15/B16</f>
        <v>24</v>
      </c>
      <c r="C17" s="47">
        <f>C15/C16</f>
        <v>24</v>
      </c>
    </row>
    <row r="18" spans="1:3" ht="12.75" customHeight="1">
      <c r="A18" s="11" t="s">
        <v>47</v>
      </c>
      <c r="B18" s="43">
        <v>345</v>
      </c>
      <c r="C18" s="43">
        <v>345</v>
      </c>
    </row>
    <row r="19" spans="1:3" ht="12.75" customHeight="1">
      <c r="A19" s="11" t="s">
        <v>48</v>
      </c>
      <c r="B19" s="46">
        <v>1</v>
      </c>
      <c r="C19" s="46">
        <v>1</v>
      </c>
    </row>
    <row r="20" spans="1:3" ht="12.75" customHeight="1">
      <c r="A20" s="12" t="s">
        <v>49</v>
      </c>
      <c r="B20" s="48">
        <f>B18/B19</f>
        <v>345</v>
      </c>
      <c r="C20" s="48">
        <f>C18/C19</f>
        <v>345</v>
      </c>
    </row>
    <row r="21" spans="1:3" ht="12.75" customHeight="1">
      <c r="A21" s="10" t="s">
        <v>67</v>
      </c>
      <c r="B21" s="68">
        <v>794.4</v>
      </c>
      <c r="C21" s="68">
        <v>794.4</v>
      </c>
    </row>
    <row r="22" spans="1:3" ht="12.75" customHeight="1">
      <c r="A22" s="11" t="s">
        <v>68</v>
      </c>
      <c r="B22" s="69"/>
      <c r="C22" s="69"/>
    </row>
    <row r="23" spans="1:3" ht="12.75" customHeight="1">
      <c r="A23" s="10" t="s">
        <v>69</v>
      </c>
      <c r="B23" s="68">
        <v>345</v>
      </c>
      <c r="C23" s="68">
        <v>345</v>
      </c>
    </row>
    <row r="24" spans="1:3" ht="12.75" customHeight="1">
      <c r="A24" s="12" t="s">
        <v>70</v>
      </c>
      <c r="B24" s="69"/>
      <c r="C24" s="69"/>
    </row>
    <row r="25" spans="1:3" ht="12.75" customHeight="1">
      <c r="A25" s="10" t="s">
        <v>71</v>
      </c>
      <c r="B25" s="68">
        <v>90</v>
      </c>
      <c r="C25" s="68">
        <v>90</v>
      </c>
    </row>
    <row r="26" spans="1:3" ht="12.75" customHeight="1">
      <c r="A26" s="11" t="s">
        <v>159</v>
      </c>
      <c r="B26" s="70"/>
      <c r="C26" s="70"/>
    </row>
    <row r="27" spans="1:3" ht="12.75" customHeight="1">
      <c r="A27" s="11" t="s">
        <v>72</v>
      </c>
      <c r="B27" s="70">
        <v>125</v>
      </c>
      <c r="C27" s="70">
        <v>125</v>
      </c>
    </row>
    <row r="28" spans="1:3" ht="12.75" customHeight="1">
      <c r="A28" s="12" t="s">
        <v>73</v>
      </c>
      <c r="B28" s="69"/>
      <c r="C28" s="69"/>
    </row>
    <row r="29" spans="1:3" ht="12.75" customHeight="1">
      <c r="A29" s="10" t="s">
        <v>74</v>
      </c>
      <c r="B29" s="45">
        <v>112.4</v>
      </c>
      <c r="C29" s="45">
        <v>112.4</v>
      </c>
    </row>
    <row r="30" spans="1:3" ht="12.75" customHeight="1">
      <c r="A30" s="12" t="s">
        <v>87</v>
      </c>
      <c r="B30" s="71">
        <v>305.39999999999998</v>
      </c>
      <c r="C30" s="71">
        <v>305.39999999999998</v>
      </c>
    </row>
    <row r="31" spans="1:3" ht="12.75" customHeight="1">
      <c r="A31" s="10" t="s">
        <v>75</v>
      </c>
      <c r="B31" s="45">
        <v>150</v>
      </c>
      <c r="C31" s="45">
        <v>150</v>
      </c>
    </row>
    <row r="32" spans="1:3" ht="12.75" customHeight="1">
      <c r="A32" s="12" t="s">
        <v>76</v>
      </c>
      <c r="B32" s="71">
        <v>164.2</v>
      </c>
      <c r="C32" s="71">
        <v>164.2</v>
      </c>
    </row>
    <row r="33" spans="1:3" ht="12.75" customHeight="1">
      <c r="A33" s="12" t="s">
        <v>77</v>
      </c>
      <c r="B33" s="72">
        <v>141.19999999999999</v>
      </c>
      <c r="C33" s="72">
        <v>141.19999999999999</v>
      </c>
    </row>
    <row r="34" spans="1:3" ht="12.75" customHeight="1">
      <c r="A34" s="10" t="s">
        <v>78</v>
      </c>
      <c r="B34" s="49">
        <f>MIN(0.2*(B17)^(1/3),0.72)</f>
        <v>0.57689982812296337</v>
      </c>
      <c r="C34" s="49">
        <f>MIN(0.2*(C17)^(1/3),0.72)</f>
        <v>0.57689982812296337</v>
      </c>
    </row>
    <row r="35" spans="1:3" ht="12.75" customHeight="1">
      <c r="A35" s="11" t="s">
        <v>80</v>
      </c>
      <c r="B35" s="50">
        <f>MIN((1000/dc(B5,B6,B9,B10,B11))^(1/4),1.5)</f>
        <v>1.0486332462152452</v>
      </c>
      <c r="C35" s="50">
        <f>MIN((1000/dc(C5,C6,C9,C10,C11))^(1/4),1.5)</f>
        <v>1.0486332462152452</v>
      </c>
    </row>
    <row r="36" spans="1:3" ht="12.75" customHeight="1">
      <c r="A36" s="11" t="s">
        <v>79</v>
      </c>
      <c r="B36" s="51">
        <f>Ass(B5,B6,B9,B10)/(B9*dc(B5,B6,B9,B10,B11))</f>
        <v>3.5199418903982768E-3</v>
      </c>
      <c r="C36" s="51">
        <f>Ass(C5,C6,C9,C10)/(C9*dc(C5,C6,C9,C10,C11))</f>
        <v>3.5199418903982768E-3</v>
      </c>
    </row>
    <row r="37" spans="1:3" ht="12.75" customHeight="1">
      <c r="A37" s="12" t="s">
        <v>81</v>
      </c>
      <c r="B37" s="50">
        <f>MIN((100*B36)^(1/3),1.5)</f>
        <v>0.70606578168141332</v>
      </c>
      <c r="C37" s="50">
        <f>MIN((100*C36)^(1/3),1.5)</f>
        <v>0.70606578168141332</v>
      </c>
    </row>
    <row r="38" spans="1:3" ht="12.75" customHeight="1">
      <c r="A38" s="14" t="s">
        <v>82</v>
      </c>
      <c r="B38" s="52">
        <v>850.67999267578125</v>
      </c>
      <c r="C38" s="52">
        <v>850.67999267578125</v>
      </c>
    </row>
    <row r="39" spans="1:3" ht="12.75" customHeight="1">
      <c r="A39" s="15" t="s">
        <v>83</v>
      </c>
      <c r="B39" s="53">
        <f>B29*hc(B5,B6,B9)/6000</f>
        <v>17.178466666666669</v>
      </c>
      <c r="C39" s="53">
        <f>C29*hc(C5,C6,C9)/6000</f>
        <v>17.178466666666669</v>
      </c>
    </row>
    <row r="40" spans="1:3" ht="12.75" customHeight="1">
      <c r="A40" s="16" t="s">
        <v>84</v>
      </c>
      <c r="B40" s="50">
        <f>IF(B29&gt;=0,MIN(1+2*B39/B38,2),MAX(1+4*B39/B38,0))</f>
        <v>1.0403876118271749</v>
      </c>
      <c r="C40" s="50">
        <f>IF(C29&gt;=0,MIN(1+2*C39/C38,2),MAX(1+4*C39/C38,0))</f>
        <v>1.0403876118271749</v>
      </c>
    </row>
    <row r="41" spans="1:3" ht="12.75" customHeight="1">
      <c r="A41" s="15" t="s">
        <v>85</v>
      </c>
      <c r="B41" s="73">
        <v>1</v>
      </c>
      <c r="C41" s="73">
        <v>1</v>
      </c>
    </row>
    <row r="42" spans="1:3" ht="12.75" customHeight="1">
      <c r="A42" s="17" t="s">
        <v>86</v>
      </c>
      <c r="B42" s="54">
        <f>B35*B37*B40*B34*bc(B5,B6,B9)*dc(B5,B6,B9,B10,B11)/B41/1000</f>
        <v>367.51060747542635</v>
      </c>
      <c r="C42" s="54">
        <f>C35*C37*C40*C34*bc(C5,C6,C9)*dc(C5,C6,C9,C10,C11)/C41/1000</f>
        <v>367.51060747542635</v>
      </c>
    </row>
    <row r="43" spans="1:3" ht="12.75" customHeight="1">
      <c r="A43" s="12" t="s">
        <v>232</v>
      </c>
      <c r="B43" s="56">
        <f>B30/(0.7*B42)</f>
        <v>1.187137746261886</v>
      </c>
      <c r="C43" s="56">
        <f>C30/(0.7*C42)</f>
        <v>1.187137746261886</v>
      </c>
    </row>
    <row r="44" spans="1:3" ht="12.75" customHeight="1">
      <c r="A44" s="14" t="s">
        <v>88</v>
      </c>
      <c r="B44" s="52">
        <v>865.760009765625</v>
      </c>
      <c r="C44" s="52">
        <v>865.760009765625</v>
      </c>
    </row>
    <row r="45" spans="1:3" ht="12.75" customHeight="1">
      <c r="A45" s="15" t="s">
        <v>83</v>
      </c>
      <c r="B45" s="53">
        <f>IF(B43&lt;1,"",B31*hc(B5,B6,B9)/6000)</f>
        <v>22.925000000000001</v>
      </c>
      <c r="C45" s="53">
        <f>IF(C43&lt;1,"",C31*hc(C5,C6,C9)/6000)</f>
        <v>22.925000000000001</v>
      </c>
    </row>
    <row r="46" spans="1:3" ht="12.75" customHeight="1">
      <c r="A46" s="16" t="s">
        <v>89</v>
      </c>
      <c r="B46" s="50">
        <f>IF(B43&lt;1,"",IF(B31&gt;=0,MIN(1+2*B45/B44,2),MAX(1+4*B45/B44,0)))</f>
        <v>1.0529592490792135</v>
      </c>
      <c r="C46" s="50">
        <f>IF(C43&lt;1,"",IF(C31&gt;=0,MIN(1+2*C45/C44,2),MAX(1+4*C45/C44,0)))</f>
        <v>1.0529592490792135</v>
      </c>
    </row>
    <row r="47" spans="1:3" ht="12.75" customHeight="1">
      <c r="A47" s="15" t="s">
        <v>90</v>
      </c>
      <c r="B47" s="55">
        <f>IF(B43&lt;1,"",B35*B37*B46*B34*bc(B5,B6,B9)*dc(B5,B6,B9,B10,B11)/B41/1000)</f>
        <v>371.95146200976973</v>
      </c>
      <c r="C47" s="55">
        <f>IF(C43&lt;1,"",C35*C37*C46*C34*bc(C5,C6,C9)*dc(C5,C6,C9,C10,C11)/C41/1000)</f>
        <v>371.95146200976973</v>
      </c>
    </row>
    <row r="48" spans="1:3" ht="12.75" customHeight="1">
      <c r="A48" s="11" t="s">
        <v>91</v>
      </c>
      <c r="B48" s="73">
        <v>1</v>
      </c>
      <c r="C48" s="73">
        <v>1</v>
      </c>
    </row>
    <row r="49" spans="1:3" ht="12.75" customHeight="1">
      <c r="A49" s="11" t="s">
        <v>92</v>
      </c>
      <c r="B49" s="74">
        <f>IF(B43&lt;1,"",(IF(B27=0,0,B21*B23*(SIN(RADIANS(B25))+COS(RADIANS(B25)))/B27)+IF(B28=0,0,B22*B24*(SIN(RADIANS(B26))+COS(RADIANS(B26)))/B28))*(dc(B5,B6,B9,B10,B11)/1.15)/B48/1000)</f>
        <v>1576.7251200000001</v>
      </c>
      <c r="C49" s="74">
        <f>IF(C43&lt;1,"",(IF(C27=0,0,C21*C23*(SIN(RADIANS(C25))+COS(RADIANS(C25)))/C27)+IF(C28=0,0,C22*C24*(SIN(RADIANS(C26))+COS(RADIANS(C26)))/C28))*(dc(C5,C6,C9,C10,C11)/1.15)/C48/1000)</f>
        <v>1576.7251200000001</v>
      </c>
    </row>
    <row r="50" spans="1:3" ht="12.75" customHeight="1">
      <c r="A50" s="12" t="s">
        <v>344</v>
      </c>
      <c r="B50" s="75">
        <f>IF(B43&lt;1,"",B47+B49)</f>
        <v>1948.6765820097698</v>
      </c>
      <c r="C50" s="75">
        <f>IF(C43&lt;1,"",C47+C49)</f>
        <v>1948.6765820097698</v>
      </c>
    </row>
    <row r="51" spans="1:3" ht="12.75" customHeight="1">
      <c r="A51" s="9" t="s">
        <v>93</v>
      </c>
      <c r="B51" s="73">
        <v>0.5</v>
      </c>
      <c r="C51" s="73">
        <v>0.5</v>
      </c>
    </row>
    <row r="52" spans="1:3" ht="12.75" customHeight="1">
      <c r="A52" s="9" t="s">
        <v>94</v>
      </c>
      <c r="B52" s="76">
        <f>IF(B43&lt;1,"",((B32+B33-B51*B47)*B27/(B21*(dc(B5,B6,B9,B10,B11)/1.15)*(SIN(RADIANS(B25))+COS(RADIANS(B25)))))*((B32+B47)/(B32+B33+B47))*1000)</f>
        <v>20.683742478979621</v>
      </c>
      <c r="C52" s="76">
        <f>IF(C43&lt;1,"",((C32+C33-C51*C47)*C27/(C21*(dc(C5,C6,C9,C10,C11)/1.15)*(SIN(RADIANS(C25))+COS(RADIANS(C25)))))*((C32+C47)/(C32+C33+C47))*1000)</f>
        <v>20.683742478979621</v>
      </c>
    </row>
    <row r="53" spans="1:3" ht="12.75" customHeight="1">
      <c r="A53" s="9" t="s">
        <v>95</v>
      </c>
      <c r="B53" s="76" t="str">
        <f>IF(B43&lt;1,"",IF(B22=0,"",((B32+B33-B51*B47)*B27/(B21*(dc(B5,B6,B9,B10,B11)/1.15)*(SIN(RADIANS(B25))+COS(RADIANS(B25)))))*((B32+B47)/(B32+B33+B47))*1000))</f>
        <v/>
      </c>
      <c r="C53" s="76" t="str">
        <f>IF(C43&lt;1,"",IF(C22=0,"",((C32+C33-C51*C47)*C27/(C21*(dc(C5,C6,C9,C10,C11)/1.15)*(SIN(RADIANS(C25))+COS(RADIANS(C25)))))*((C32+C47)/(C32+C33+C47))*1000))</f>
        <v/>
      </c>
    </row>
    <row r="54" spans="1:3" ht="12.75" customHeight="1">
      <c r="A54" s="9" t="s">
        <v>96</v>
      </c>
      <c r="B54" s="63" t="s">
        <v>226</v>
      </c>
      <c r="C54" s="63" t="s">
        <v>226</v>
      </c>
    </row>
    <row r="55" spans="1:3" ht="12.75" customHeight="1">
      <c r="A55" s="9" t="s">
        <v>97</v>
      </c>
      <c r="B55" s="62">
        <v>120</v>
      </c>
      <c r="C55" s="62">
        <v>120</v>
      </c>
    </row>
    <row r="56" spans="1:3" ht="12.75" customHeight="1">
      <c r="A56" s="9" t="s">
        <v>98</v>
      </c>
      <c r="B56" s="32">
        <f>IF(B43&lt;1,"",B52/B55)</f>
        <v>0.17236452065816352</v>
      </c>
      <c r="C56" s="32">
        <f>IF(C43&lt;1,"",C52/C55)</f>
        <v>0.17236452065816352</v>
      </c>
    </row>
    <row r="57" spans="1:3" ht="12.75" customHeight="1">
      <c r="A57" s="9" t="s">
        <v>99</v>
      </c>
      <c r="B57" s="32" t="str">
        <f>IF(B43&lt;1,"",IF(B53="","",B53/B55))</f>
        <v/>
      </c>
      <c r="C57" s="32" t="str">
        <f>IF(C43&lt;1,"",IF(C53="","",C53/C55))</f>
        <v/>
      </c>
    </row>
    <row r="58" spans="1:3" ht="12.75" customHeight="1">
      <c r="A58" s="13" t="s">
        <v>64</v>
      </c>
      <c r="B58" s="31" t="str">
        <f>IF(B43&lt;1,"",IF(MAX(B56:B57)&lt;1,"OK","NG"))</f>
        <v>OK</v>
      </c>
      <c r="C58" s="31" t="str">
        <f>IF(C43&lt;1,"",IF(MAX(C56:C57)&lt;1,"OK","NG"))</f>
        <v>OK</v>
      </c>
    </row>
  </sheetData>
  <phoneticPr fontId="2"/>
  <dataValidations count="2">
    <dataValidation type="list" showInputMessage="1" showErrorMessage="1" sqref="B5:C5">
      <formula1>"矩形,円形,Ｔ形,逆T形,小判形"</formula1>
    </dataValidation>
    <dataValidation type="list" allowBlank="1" showInputMessage="1" showErrorMessage="1" sqref="B54:C54">
      <formula1>"一般の環境,腐食性環境,厳しい腐食性"</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2.せん断ひび割れ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2:B40"/>
  <sheetViews>
    <sheetView view="pageBreakPreview" topLeftCell="A4" zoomScaleNormal="100" zoomScaleSheetLayoutView="100" workbookViewId="0">
      <selection activeCell="D33" sqref="D33"/>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142</v>
      </c>
    </row>
    <row r="3" spans="1:2" ht="15.75" customHeight="1">
      <c r="A3" s="37" t="s">
        <v>0</v>
      </c>
      <c r="B3" s="64" t="s">
        <v>333</v>
      </c>
    </row>
    <row r="4" spans="1:2" ht="15.75" customHeight="1">
      <c r="A4" s="38" t="s">
        <v>1</v>
      </c>
      <c r="B4" s="63" t="s">
        <v>334</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96" t="s">
        <v>335</v>
      </c>
    </row>
    <row r="11" spans="1:2" ht="15.75" customHeight="1">
      <c r="A11" s="38" t="s">
        <v>42</v>
      </c>
      <c r="B11" s="96">
        <v>90</v>
      </c>
    </row>
    <row r="12" spans="1:2" ht="15.75" customHeight="1">
      <c r="A12" s="38" t="s">
        <v>244</v>
      </c>
      <c r="B12" s="96"/>
    </row>
    <row r="13" spans="1:2" ht="15.75" customHeight="1">
      <c r="A13" s="38" t="s">
        <v>43</v>
      </c>
      <c r="B13" s="96"/>
    </row>
    <row r="14" spans="1:2" ht="15.75" customHeight="1">
      <c r="A14" s="38" t="s">
        <v>44</v>
      </c>
      <c r="B14" s="97">
        <v>24</v>
      </c>
    </row>
    <row r="15" spans="1:2" ht="15.75" customHeight="1">
      <c r="A15" s="38" t="s">
        <v>45</v>
      </c>
      <c r="B15" s="98">
        <v>1.3</v>
      </c>
    </row>
    <row r="16" spans="1:2" ht="15.75" customHeight="1">
      <c r="A16" s="38" t="s">
        <v>46</v>
      </c>
      <c r="B16" s="91">
        <f>B14/B15</f>
        <v>18.46153846153846</v>
      </c>
    </row>
    <row r="17" spans="1:2" ht="15.75" customHeight="1">
      <c r="A17" s="38" t="s">
        <v>47</v>
      </c>
      <c r="B17" s="96">
        <v>345</v>
      </c>
    </row>
    <row r="18" spans="1:2" ht="15.75" customHeight="1">
      <c r="A18" s="38" t="s">
        <v>48</v>
      </c>
      <c r="B18" s="98">
        <v>1.05</v>
      </c>
    </row>
    <row r="19" spans="1:2" ht="15.75" customHeight="1">
      <c r="A19" s="38" t="s">
        <v>49</v>
      </c>
      <c r="B19" s="91">
        <f>B17/B18</f>
        <v>328.57142857142856</v>
      </c>
    </row>
    <row r="20" spans="1:2" ht="15.75" customHeight="1">
      <c r="A20" s="38" t="s">
        <v>143</v>
      </c>
      <c r="B20" s="63">
        <v>490</v>
      </c>
    </row>
    <row r="21" spans="1:2" ht="15.75" customHeight="1">
      <c r="A21" s="38" t="s">
        <v>144</v>
      </c>
      <c r="B21" s="19">
        <v>173</v>
      </c>
    </row>
    <row r="22" spans="1:2" ht="15.75" customHeight="1">
      <c r="A22" s="38" t="s">
        <v>112</v>
      </c>
      <c r="B22" s="97">
        <v>67.400000000000006</v>
      </c>
    </row>
    <row r="23" spans="1:2" ht="15.75" customHeight="1">
      <c r="A23" s="38" t="s">
        <v>145</v>
      </c>
      <c r="B23" s="33">
        <v>51.914432525634766</v>
      </c>
    </row>
    <row r="24" spans="1:2" ht="15.75" customHeight="1">
      <c r="A24" s="38" t="s">
        <v>146</v>
      </c>
      <c r="B24" s="19">
        <v>177.1</v>
      </c>
    </row>
    <row r="25" spans="1:2" ht="15.75" customHeight="1">
      <c r="A25" s="38" t="s">
        <v>147</v>
      </c>
      <c r="B25" s="97">
        <v>55.5</v>
      </c>
    </row>
    <row r="26" spans="1:2" ht="15.75" customHeight="1">
      <c r="A26" s="38" t="s">
        <v>148</v>
      </c>
      <c r="B26" s="33">
        <v>55.308372497558594</v>
      </c>
    </row>
    <row r="27" spans="1:2" ht="15.75" customHeight="1">
      <c r="A27" s="38" t="s">
        <v>149</v>
      </c>
      <c r="B27" s="136">
        <f>B34*(10^(3.09-0.003*B32))/((2*10^6)^0.12)*(1-(B23/B20))/B36</f>
        <v>157.77927902227881</v>
      </c>
    </row>
    <row r="28" spans="1:2" ht="15.75" customHeight="1">
      <c r="A28" s="38" t="s">
        <v>140</v>
      </c>
      <c r="B28" s="62">
        <v>1</v>
      </c>
    </row>
    <row r="29" spans="1:2" ht="15.75" customHeight="1">
      <c r="A29" s="140" t="s">
        <v>150</v>
      </c>
      <c r="B29" s="137">
        <f>B38*B26/(B27/B28)</f>
        <v>0.3505426874827392</v>
      </c>
    </row>
    <row r="30" spans="1:2" ht="15.75" customHeight="1">
      <c r="A30" s="38" t="s">
        <v>151</v>
      </c>
      <c r="B30" s="92">
        <f>IF(B29&lt;=1,0.06,0.12)</f>
        <v>0.06</v>
      </c>
    </row>
    <row r="31" spans="1:2" ht="15.75" customHeight="1">
      <c r="A31" s="38" t="s">
        <v>152</v>
      </c>
      <c r="B31" s="63">
        <v>31900</v>
      </c>
    </row>
    <row r="32" spans="1:2" ht="15.75" customHeight="1">
      <c r="A32" s="38" t="s">
        <v>153</v>
      </c>
      <c r="B32" s="63">
        <v>22</v>
      </c>
    </row>
    <row r="33" spans="1:2" ht="15.75" customHeight="1">
      <c r="A33" s="38" t="s">
        <v>162</v>
      </c>
      <c r="B33" s="138">
        <f>IF(B29&lt;=1,2.71-0.003*B32,3.09-0.003*B32)</f>
        <v>2.6440000000000001</v>
      </c>
    </row>
    <row r="34" spans="1:2" ht="15.75" customHeight="1">
      <c r="A34" s="38" t="s">
        <v>233</v>
      </c>
      <c r="B34" s="62">
        <v>1</v>
      </c>
    </row>
    <row r="35" spans="1:2" ht="15.75" customHeight="1">
      <c r="A35" s="38" t="s">
        <v>234</v>
      </c>
      <c r="B35" s="62">
        <v>1</v>
      </c>
    </row>
    <row r="36" spans="1:2" ht="15.75" customHeight="1">
      <c r="A36" s="38" t="s">
        <v>154</v>
      </c>
      <c r="B36" s="62">
        <v>1.05</v>
      </c>
    </row>
    <row r="37" spans="1:2" ht="15.75" customHeight="1">
      <c r="A37" s="38" t="s">
        <v>155</v>
      </c>
      <c r="B37" s="139">
        <f>B34*B35*(10^B33)/(B31^B30)*(1-(B23/B20))/B36</f>
        <v>201.3474462548989</v>
      </c>
    </row>
    <row r="38" spans="1:2" ht="15.75" customHeight="1">
      <c r="A38" s="38" t="s">
        <v>141</v>
      </c>
      <c r="B38" s="62">
        <v>1</v>
      </c>
    </row>
    <row r="39" spans="1:2" ht="15.75" customHeight="1">
      <c r="A39" s="140" t="s">
        <v>156</v>
      </c>
      <c r="B39" s="94">
        <f>B38*B26/(B37/B28)</f>
        <v>0.27469120431525168</v>
      </c>
    </row>
    <row r="40" spans="1:2" ht="15.75" customHeight="1">
      <c r="A40" s="39" t="s">
        <v>63</v>
      </c>
      <c r="B40" s="95" t="str">
        <f>IF(B39&lt;1,"OK","NG")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1 B24">
      <formula1>0</formula1>
    </dataValidation>
  </dataValidations>
  <pageMargins left="0.75" right="0.75" top="1" bottom="1"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Sheet07.曲げ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8"/>
  <dimension ref="A1:B71"/>
  <sheetViews>
    <sheetView showGridLines="0" view="pageBreakPreview" zoomScale="115" zoomScaleNormal="115" zoomScaleSheetLayoutView="115" workbookViewId="0">
      <selection activeCell="D33" sqref="D33"/>
    </sheetView>
  </sheetViews>
  <sheetFormatPr defaultColWidth="13.875" defaultRowHeight="10.5"/>
  <cols>
    <col min="1" max="1" width="16.625" style="115" bestFit="1" customWidth="1"/>
    <col min="2" max="2" width="12.75" style="99" customWidth="1"/>
    <col min="3" max="16384" width="13.875" style="99"/>
  </cols>
  <sheetData>
    <row r="1" spans="1:2" ht="15.75" customHeight="1"/>
    <row r="2" spans="1:2">
      <c r="A2" s="116" t="s">
        <v>158</v>
      </c>
    </row>
    <row r="3" spans="1:2">
      <c r="A3" s="117" t="s">
        <v>0</v>
      </c>
      <c r="B3" s="65" t="s">
        <v>241</v>
      </c>
    </row>
    <row r="4" spans="1:2">
      <c r="A4" s="118" t="s">
        <v>1</v>
      </c>
      <c r="B4" s="66" t="s">
        <v>242</v>
      </c>
    </row>
    <row r="5" spans="1:2">
      <c r="A5" s="118" t="s">
        <v>2</v>
      </c>
      <c r="B5" s="128" t="s">
        <v>225</v>
      </c>
    </row>
    <row r="6" spans="1:2">
      <c r="A6" s="118" t="s">
        <v>243</v>
      </c>
      <c r="B6" s="128">
        <v>917</v>
      </c>
    </row>
    <row r="7" spans="1:2">
      <c r="A7" s="118" t="s">
        <v>167</v>
      </c>
      <c r="B7" s="128"/>
    </row>
    <row r="8" spans="1:2">
      <c r="A8" s="118" t="s">
        <v>168</v>
      </c>
      <c r="B8" s="128"/>
    </row>
    <row r="9" spans="1:2">
      <c r="A9" s="118" t="s">
        <v>169</v>
      </c>
      <c r="B9" s="128">
        <v>1000</v>
      </c>
    </row>
    <row r="10" spans="1:2">
      <c r="A10" s="119" t="s">
        <v>170</v>
      </c>
      <c r="B10" s="129" t="s">
        <v>337</v>
      </c>
    </row>
    <row r="11" spans="1:2">
      <c r="A11" s="120" t="s">
        <v>171</v>
      </c>
      <c r="B11" s="130">
        <v>90</v>
      </c>
    </row>
    <row r="12" spans="1:2">
      <c r="A12" s="120" t="s">
        <v>244</v>
      </c>
      <c r="B12" s="130"/>
    </row>
    <row r="13" spans="1:2">
      <c r="A13" s="120" t="s">
        <v>172</v>
      </c>
      <c r="B13" s="130"/>
    </row>
    <row r="14" spans="1:2">
      <c r="A14" s="120" t="s">
        <v>173</v>
      </c>
      <c r="B14" s="131"/>
    </row>
    <row r="15" spans="1:2">
      <c r="A15" s="119" t="s">
        <v>174</v>
      </c>
      <c r="B15" s="132">
        <v>24</v>
      </c>
    </row>
    <row r="16" spans="1:2">
      <c r="A16" s="120" t="s">
        <v>175</v>
      </c>
      <c r="B16" s="133">
        <v>1.3</v>
      </c>
    </row>
    <row r="17" spans="1:2">
      <c r="A17" s="120" t="s">
        <v>176</v>
      </c>
      <c r="B17" s="100">
        <f>B15/B16</f>
        <v>18.46153846153846</v>
      </c>
    </row>
    <row r="18" spans="1:2">
      <c r="A18" s="120" t="s">
        <v>177</v>
      </c>
      <c r="B18" s="130">
        <v>345</v>
      </c>
    </row>
    <row r="19" spans="1:2">
      <c r="A19" s="120" t="s">
        <v>157</v>
      </c>
      <c r="B19" s="133">
        <v>1.05</v>
      </c>
    </row>
    <row r="20" spans="1:2">
      <c r="A20" s="120" t="s">
        <v>178</v>
      </c>
      <c r="B20" s="101">
        <f>B18/B19</f>
        <v>328.57142857142856</v>
      </c>
    </row>
    <row r="21" spans="1:2">
      <c r="A21" s="119" t="s">
        <v>179</v>
      </c>
      <c r="B21" s="86">
        <v>794.4</v>
      </c>
    </row>
    <row r="22" spans="1:2">
      <c r="A22" s="120" t="s">
        <v>180</v>
      </c>
      <c r="B22" s="87"/>
    </row>
    <row r="23" spans="1:2">
      <c r="A23" s="120" t="s">
        <v>181</v>
      </c>
      <c r="B23" s="87">
        <v>345</v>
      </c>
    </row>
    <row r="24" spans="1:2">
      <c r="A24" s="120" t="s">
        <v>182</v>
      </c>
      <c r="B24" s="87">
        <v>490</v>
      </c>
    </row>
    <row r="25" spans="1:2">
      <c r="A25" s="120" t="s">
        <v>183</v>
      </c>
      <c r="B25" s="87"/>
    </row>
    <row r="26" spans="1:2">
      <c r="A26" s="120" t="s">
        <v>184</v>
      </c>
      <c r="B26" s="87"/>
    </row>
    <row r="27" spans="1:2">
      <c r="A27" s="120" t="s">
        <v>185</v>
      </c>
      <c r="B27" s="87">
        <v>90</v>
      </c>
    </row>
    <row r="28" spans="1:2">
      <c r="A28" s="120" t="s">
        <v>186</v>
      </c>
      <c r="B28" s="87"/>
    </row>
    <row r="29" spans="1:2">
      <c r="A29" s="120" t="s">
        <v>187</v>
      </c>
      <c r="B29" s="87">
        <v>125</v>
      </c>
    </row>
    <row r="30" spans="1:2">
      <c r="A30" s="121" t="s">
        <v>188</v>
      </c>
      <c r="B30" s="88"/>
    </row>
    <row r="31" spans="1:2" s="21" customFormat="1" ht="11.25">
      <c r="A31" s="119" t="s">
        <v>236</v>
      </c>
      <c r="B31" s="134">
        <v>67.400000000000006</v>
      </c>
    </row>
    <row r="32" spans="1:2" s="21" customFormat="1" ht="11.25">
      <c r="A32" s="121" t="s">
        <v>76</v>
      </c>
      <c r="B32" s="84">
        <v>164.2</v>
      </c>
    </row>
    <row r="33" spans="1:2" s="21" customFormat="1" ht="11.25">
      <c r="A33" s="121" t="s">
        <v>77</v>
      </c>
      <c r="B33" s="85">
        <v>141.19999999999999</v>
      </c>
    </row>
    <row r="34" spans="1:2" s="21" customFormat="1" ht="11.25">
      <c r="A34" s="119" t="s">
        <v>189</v>
      </c>
      <c r="B34" s="102">
        <f>MIN(0.2*(B17)^(1/3),0.72)</f>
        <v>0.528590425204984</v>
      </c>
    </row>
    <row r="35" spans="1:2" s="21" customFormat="1" ht="11.25">
      <c r="A35" s="120" t="s">
        <v>190</v>
      </c>
      <c r="B35" s="103">
        <f>MIN((1000/dc(B5,B6,B9,B10,B11))^(1/4),1.5)</f>
        <v>1.0486332462152452</v>
      </c>
    </row>
    <row r="36" spans="1:2" s="21" customFormat="1" ht="11.25">
      <c r="A36" s="120" t="s">
        <v>191</v>
      </c>
      <c r="B36" s="104">
        <f>Ass(B5,B6,B9,B10)/(B9*dc(B5,B6,B9,B10,B11))</f>
        <v>3.5199418903982768E-3</v>
      </c>
    </row>
    <row r="37" spans="1:2" s="21" customFormat="1" ht="11.25">
      <c r="A37" s="120" t="s">
        <v>192</v>
      </c>
      <c r="B37" s="103">
        <f>MIN((100*B36)^(1/3),1.5)</f>
        <v>0.70606578168141332</v>
      </c>
    </row>
    <row r="38" spans="1:2" s="21" customFormat="1" ht="11.25">
      <c r="A38" s="119" t="s">
        <v>240</v>
      </c>
      <c r="B38" s="135">
        <v>787.58001708984375</v>
      </c>
    </row>
    <row r="39" spans="1:2" s="21" customFormat="1" ht="11.25">
      <c r="A39" s="120" t="s">
        <v>235</v>
      </c>
      <c r="B39" s="105">
        <f>B31*hc(B5,B6,B9)/6000</f>
        <v>10.300966666666667</v>
      </c>
    </row>
    <row r="40" spans="1:2" s="21" customFormat="1" ht="11.25">
      <c r="A40" s="122" t="s">
        <v>237</v>
      </c>
      <c r="B40" s="103">
        <f>IF(B31&gt;=0,MIN(1+2*B39/B38,2),MAX(1+4*B39/B38,0))</f>
        <v>1.0261585272433127</v>
      </c>
    </row>
    <row r="41" spans="1:2" s="21" customFormat="1" ht="11.25">
      <c r="A41" s="120" t="s">
        <v>238</v>
      </c>
      <c r="B41" s="89">
        <v>1.3</v>
      </c>
    </row>
    <row r="42" spans="1:2" s="21" customFormat="1" ht="11.25">
      <c r="A42" s="120" t="s">
        <v>239</v>
      </c>
      <c r="B42" s="75">
        <f>B35*B37*B40*B34*bc(B5,B6,B9)*dc(B5,B6,B9,B10,B11)/B41/1000</f>
        <v>255.48458118888303</v>
      </c>
    </row>
    <row r="43" spans="1:2">
      <c r="A43" s="119" t="s">
        <v>194</v>
      </c>
      <c r="B43" s="90">
        <v>0.5</v>
      </c>
    </row>
    <row r="44" spans="1:2">
      <c r="A44" s="120" t="s">
        <v>195</v>
      </c>
      <c r="B44" s="106">
        <f>((B32+B33-B43*B42)*B29/(B21*(dc(B5,B6,B9,B10,B11)/1.15)*(SIN(RADIANS(B27))+COS(RADIANS(B27)))))*(B33/(B32+B33+B42))*1000</f>
        <v>9.7860709927511795</v>
      </c>
    </row>
    <row r="45" spans="1:2">
      <c r="A45" s="120" t="s">
        <v>196</v>
      </c>
      <c r="B45" s="106" t="str">
        <f>IF(B22=0,"",((B32+B33-B43*B42)*B29/(B21*(dc(B5,B6,B9,B10,B11)/1.15)*(SIN(RADIANS(B27))+COS(RADIANS(B27)))))*(B33/(B32+B33+B42))*1000)</f>
        <v/>
      </c>
    </row>
    <row r="46" spans="1:2">
      <c r="A46" s="120" t="s">
        <v>197</v>
      </c>
      <c r="B46" s="106">
        <f>((B32+B33-B43*B42)*B29/(B21*(dc(B5,B6,B9,B10,B11)/1.15)*(SIN(RADIANS(B27))+COS(RADIANS(B27)))))*((B32+B42)/(B32+B33+B42))*1000</f>
        <v>29.08684919318312</v>
      </c>
    </row>
    <row r="47" spans="1:2">
      <c r="A47" s="120" t="s">
        <v>198</v>
      </c>
      <c r="B47" s="106" t="str">
        <f>IF(B22=0,"",((B32+B33-B43*B42)*B29/(B21*(dc(B5,B6,B9,B10,B11)/1.15)*(SIN(RADIANS(B27))+COS(RADIANS(B27)))))*((B32+B42)/(B32+B33+B42))*1000)</f>
        <v/>
      </c>
    </row>
    <row r="48" spans="1:2">
      <c r="A48" s="120" t="s">
        <v>199</v>
      </c>
      <c r="B48" s="106">
        <f>B61*(10^(3.09-0.003*B57))/((2*10^6)^0.12)*(1-(B44/B24))/B65</f>
        <v>117.17612478405442</v>
      </c>
    </row>
    <row r="49" spans="1:2">
      <c r="A49" s="120" t="s">
        <v>200</v>
      </c>
      <c r="B49" s="106" t="str">
        <f>IF(B22=0,"",B61*(10^(3.09-0.003*B58))/((2*10^6)^0.12)*(1-(B45/B26))/B65)</f>
        <v/>
      </c>
    </row>
    <row r="50" spans="1:2">
      <c r="A50" s="120" t="s">
        <v>193</v>
      </c>
      <c r="B50" s="89">
        <v>1</v>
      </c>
    </row>
    <row r="51" spans="1:2" s="108" customFormat="1">
      <c r="A51" s="123" t="s">
        <v>201</v>
      </c>
      <c r="B51" s="107">
        <f>B68*B44/(B48/B50)</f>
        <v>8.3515912569954595E-2</v>
      </c>
    </row>
    <row r="52" spans="1:2" s="108" customFormat="1">
      <c r="A52" s="124" t="s">
        <v>202</v>
      </c>
      <c r="B52" s="109" t="str">
        <f>IF(B22=0,"",B68*B45/(B49/B50))</f>
        <v/>
      </c>
    </row>
    <row r="53" spans="1:2">
      <c r="A53" s="119" t="s">
        <v>203</v>
      </c>
      <c r="B53" s="110">
        <f>IF(B51&lt;=1,0.06,0.12)</f>
        <v>0.06</v>
      </c>
    </row>
    <row r="54" spans="1:2">
      <c r="A54" s="120" t="s">
        <v>204</v>
      </c>
      <c r="B54" s="101" t="str">
        <f>IF(B22=0,"",IF(B52&lt;=1,0.06,0.12))</f>
        <v/>
      </c>
    </row>
    <row r="55" spans="1:2" s="108" customFormat="1">
      <c r="A55" s="125" t="s">
        <v>160</v>
      </c>
      <c r="B55" s="87">
        <v>56400</v>
      </c>
    </row>
    <row r="56" spans="1:2" s="108" customFormat="1">
      <c r="A56" s="125" t="s">
        <v>161</v>
      </c>
      <c r="B56" s="87"/>
    </row>
    <row r="57" spans="1:2" s="108" customFormat="1">
      <c r="A57" s="125" t="s">
        <v>205</v>
      </c>
      <c r="B57" s="87">
        <v>16</v>
      </c>
    </row>
    <row r="58" spans="1:2" s="108" customFormat="1">
      <c r="A58" s="126" t="s">
        <v>206</v>
      </c>
      <c r="B58" s="88"/>
    </row>
    <row r="59" spans="1:2">
      <c r="A59" s="119" t="s">
        <v>207</v>
      </c>
      <c r="B59" s="111">
        <f>IF(B51&lt;=1,2.71-0.003*B57,3.09-0.003*B57)</f>
        <v>2.6619999999999999</v>
      </c>
    </row>
    <row r="60" spans="1:2">
      <c r="A60" s="120" t="s">
        <v>208</v>
      </c>
      <c r="B60" s="112" t="str">
        <f>IF(B22=0,"",IF(B52&lt;=1,2.71-0.003*B58,3.09-0.003*B58))</f>
        <v/>
      </c>
    </row>
    <row r="61" spans="1:2" s="108" customFormat="1">
      <c r="A61" s="125" t="s">
        <v>163</v>
      </c>
      <c r="B61" s="89">
        <v>0.65</v>
      </c>
    </row>
    <row r="62" spans="1:2" s="108" customFormat="1">
      <c r="A62" s="125" t="s">
        <v>164</v>
      </c>
      <c r="B62" s="89"/>
    </row>
    <row r="63" spans="1:2" s="108" customFormat="1">
      <c r="A63" s="125" t="s">
        <v>165</v>
      </c>
      <c r="B63" s="89">
        <v>1</v>
      </c>
    </row>
    <row r="64" spans="1:2" s="108" customFormat="1">
      <c r="A64" s="125" t="s">
        <v>166</v>
      </c>
      <c r="B64" s="89"/>
    </row>
    <row r="65" spans="1:2">
      <c r="A65" s="120" t="s">
        <v>209</v>
      </c>
      <c r="B65" s="89">
        <v>1.05</v>
      </c>
    </row>
    <row r="66" spans="1:2">
      <c r="A66" s="120" t="s">
        <v>210</v>
      </c>
      <c r="B66" s="106">
        <f>B61*B63*(10^B59)/(B55^B53)*(1-(B44/B24))/B65</f>
        <v>144.50603479677056</v>
      </c>
    </row>
    <row r="67" spans="1:2">
      <c r="A67" s="120" t="s">
        <v>211</v>
      </c>
      <c r="B67" s="106" t="str">
        <f>IF(B22=0,"",B62*B64*(10^B60)/(B56^B54)*(1-(B45/B24))/B65)</f>
        <v/>
      </c>
    </row>
    <row r="68" spans="1:2">
      <c r="A68" s="120" t="s">
        <v>212</v>
      </c>
      <c r="B68" s="89">
        <v>1</v>
      </c>
    </row>
    <row r="69" spans="1:2" s="108" customFormat="1">
      <c r="A69" s="123" t="s">
        <v>213</v>
      </c>
      <c r="B69" s="103">
        <f>B68*B46/(B66/B50)</f>
        <v>0.2012846676894158</v>
      </c>
    </row>
    <row r="70" spans="1:2" s="108" customFormat="1">
      <c r="A70" s="124" t="s">
        <v>214</v>
      </c>
      <c r="B70" s="113" t="str">
        <f>IF(B22=0,"",B68*B47/(B67/B50))</f>
        <v/>
      </c>
    </row>
    <row r="71" spans="1:2">
      <c r="A71" s="127" t="s">
        <v>215</v>
      </c>
      <c r="B71" s="114" t="str">
        <f>IF(MAX(B69:B70)&lt;1,"OK","NG")</f>
        <v>OK</v>
      </c>
    </row>
  </sheetData>
  <phoneticPr fontId="2"/>
  <dataValidations count="1">
    <dataValidation type="list" showInputMessage="1" showErrorMessage="1" sqref="B5">
      <formula1>"矩形,円形,Ｔ形,逆T形,小判形"</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8" r:id="rId4" name="Button 2">
              <controlPr defaultSize="0" print="0" autoFill="0" autoPict="0" macro="[0]!Sheet08.せん断疲労破壊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9"/>
  <dimension ref="A2:B32"/>
  <sheetViews>
    <sheetView view="pageBreakPreview" topLeftCell="A8" zoomScaleNormal="100" zoomScaleSheetLayoutView="100" workbookViewId="0">
      <selection activeCell="D33" sqref="D33"/>
    </sheetView>
  </sheetViews>
  <sheetFormatPr defaultColWidth="13.875" defaultRowHeight="15.75" customHeight="1"/>
  <cols>
    <col min="1" max="1" width="16.625" style="40" bestFit="1" customWidth="1"/>
    <col min="2" max="2" width="12.75" style="35" customWidth="1"/>
    <col min="3" max="16384" width="13.875" style="35"/>
  </cols>
  <sheetData>
    <row r="2" spans="1:2" ht="15.75" customHeight="1">
      <c r="A2" s="36" t="s">
        <v>216</v>
      </c>
    </row>
    <row r="3" spans="1:2" ht="15.75" customHeight="1">
      <c r="A3" s="37" t="s">
        <v>0</v>
      </c>
      <c r="B3" s="64" t="s">
        <v>333</v>
      </c>
    </row>
    <row r="4" spans="1:2" ht="15.75" customHeight="1">
      <c r="A4" s="38" t="s">
        <v>1</v>
      </c>
      <c r="B4" s="63" t="s">
        <v>334</v>
      </c>
    </row>
    <row r="5" spans="1:2" ht="15.75" customHeight="1">
      <c r="A5" s="38" t="s">
        <v>2</v>
      </c>
      <c r="B5" s="96" t="s">
        <v>225</v>
      </c>
    </row>
    <row r="6" spans="1:2" ht="15.75" customHeight="1">
      <c r="A6" s="38" t="s">
        <v>243</v>
      </c>
      <c r="B6" s="96">
        <v>1100</v>
      </c>
    </row>
    <row r="7" spans="1:2" ht="15.75" customHeight="1">
      <c r="A7" s="38" t="s">
        <v>38</v>
      </c>
      <c r="B7" s="96"/>
    </row>
    <row r="8" spans="1:2" ht="15.75" customHeight="1">
      <c r="A8" s="38" t="s">
        <v>39</v>
      </c>
      <c r="B8" s="96"/>
    </row>
    <row r="9" spans="1:2" ht="15.75" customHeight="1">
      <c r="A9" s="38" t="s">
        <v>40</v>
      </c>
      <c r="B9" s="96">
        <v>1000</v>
      </c>
    </row>
    <row r="10" spans="1:2" ht="15.75" customHeight="1">
      <c r="A10" s="38" t="s">
        <v>41</v>
      </c>
      <c r="B10" s="144" t="s">
        <v>332</v>
      </c>
    </row>
    <row r="11" spans="1:2" ht="15.75" customHeight="1">
      <c r="A11" s="38" t="s">
        <v>42</v>
      </c>
      <c r="B11" s="144">
        <v>90</v>
      </c>
    </row>
    <row r="12" spans="1:2" ht="15.75" customHeight="1">
      <c r="A12" s="38" t="s">
        <v>221</v>
      </c>
      <c r="B12" s="63" t="s">
        <v>230</v>
      </c>
    </row>
    <row r="13" spans="1:2" ht="15.75" customHeight="1">
      <c r="A13" s="38" t="s">
        <v>222</v>
      </c>
      <c r="B13" s="63" t="s">
        <v>231</v>
      </c>
    </row>
    <row r="14" spans="1:2" ht="15.75" customHeight="1">
      <c r="A14" s="38" t="s">
        <v>244</v>
      </c>
      <c r="B14" s="18" t="s">
        <v>336</v>
      </c>
    </row>
    <row r="15" spans="1:2" ht="15.75" customHeight="1">
      <c r="A15" s="38" t="s">
        <v>43</v>
      </c>
      <c r="B15" s="18">
        <v>416.3</v>
      </c>
    </row>
    <row r="16" spans="1:2" ht="15.75" customHeight="1">
      <c r="A16" s="38" t="s">
        <v>44</v>
      </c>
      <c r="B16" s="97">
        <v>24</v>
      </c>
    </row>
    <row r="17" spans="1:2" ht="15.75" customHeight="1">
      <c r="A17" s="38" t="s">
        <v>45</v>
      </c>
      <c r="B17" s="98">
        <v>1.3</v>
      </c>
    </row>
    <row r="18" spans="1:2" ht="15.75" customHeight="1">
      <c r="A18" s="38" t="s">
        <v>46</v>
      </c>
      <c r="B18" s="91">
        <f>B16/B17</f>
        <v>18.46153846153846</v>
      </c>
    </row>
    <row r="19" spans="1:2" ht="15.75" customHeight="1">
      <c r="A19" s="38" t="s">
        <v>47</v>
      </c>
      <c r="B19" s="96">
        <v>345</v>
      </c>
    </row>
    <row r="20" spans="1:2" ht="15.75" customHeight="1">
      <c r="A20" s="38" t="s">
        <v>48</v>
      </c>
      <c r="B20" s="98">
        <v>1</v>
      </c>
    </row>
    <row r="21" spans="1:2" ht="15.75" customHeight="1">
      <c r="A21" s="38" t="s">
        <v>49</v>
      </c>
      <c r="B21" s="92">
        <f>B19/B20</f>
        <v>345</v>
      </c>
    </row>
    <row r="22" spans="1:2" ht="15.75" customHeight="1">
      <c r="A22" s="38" t="s">
        <v>50</v>
      </c>
      <c r="B22" s="72">
        <v>345.3</v>
      </c>
    </row>
    <row r="23" spans="1:2" ht="15.75" customHeight="1">
      <c r="A23" s="38" t="s">
        <v>112</v>
      </c>
      <c r="B23" s="97">
        <v>96.8</v>
      </c>
    </row>
    <row r="24" spans="1:2" ht="15.75" customHeight="1">
      <c r="A24" s="38" t="s">
        <v>220</v>
      </c>
      <c r="B24" s="141">
        <v>7.5212586671113968E-4</v>
      </c>
    </row>
    <row r="25" spans="1:2" ht="15.75" customHeight="1">
      <c r="A25" s="38" t="s">
        <v>138</v>
      </c>
      <c r="B25" s="141">
        <v>1.7249999800696969E-3</v>
      </c>
    </row>
    <row r="26" spans="1:2" ht="15.75" customHeight="1">
      <c r="A26" s="38" t="s">
        <v>139</v>
      </c>
      <c r="B26" s="41">
        <v>306.66473388671875</v>
      </c>
    </row>
    <row r="27" spans="1:2" ht="15.75" customHeight="1">
      <c r="A27" s="38" t="s">
        <v>217</v>
      </c>
      <c r="B27" s="41">
        <v>1100.530029296875</v>
      </c>
    </row>
    <row r="28" spans="1:2" ht="15.75" customHeight="1">
      <c r="A28" s="38" t="s">
        <v>140</v>
      </c>
      <c r="B28" s="62">
        <v>1</v>
      </c>
    </row>
    <row r="29" spans="1:2" ht="15.75" customHeight="1">
      <c r="A29" s="38" t="s">
        <v>219</v>
      </c>
      <c r="B29" s="93">
        <f>B27/B28</f>
        <v>1100.530029296875</v>
      </c>
    </row>
    <row r="30" spans="1:2" ht="15.75" customHeight="1">
      <c r="A30" s="38" t="s">
        <v>141</v>
      </c>
      <c r="B30" s="62">
        <v>1</v>
      </c>
    </row>
    <row r="31" spans="1:2" ht="15.75" customHeight="1">
      <c r="A31" s="38" t="s">
        <v>218</v>
      </c>
      <c r="B31" s="94">
        <f>B30*B22/B29</f>
        <v>0.31375790828771027</v>
      </c>
    </row>
    <row r="32" spans="1:2" ht="15.75" customHeight="1">
      <c r="A32" s="39" t="s">
        <v>63</v>
      </c>
      <c r="B32" s="95" t="str">
        <f>IF(B31&lt;1,"OK","NG")</f>
        <v>OK</v>
      </c>
    </row>
  </sheetData>
  <phoneticPr fontId="2"/>
  <dataValidations count="2">
    <dataValidation type="list" showInputMessage="1" showErrorMessage="1" sqref="B5">
      <formula1>"矩形,円形,Ｔ形,逆T形,小判形"</formula1>
    </dataValidation>
    <dataValidation type="decimal" operator="greaterThanOrEqual" allowBlank="1" showInputMessage="1" showErrorMessage="1" sqref="B22">
      <formula1>0</formula1>
    </dataValidation>
  </dataValidations>
  <pageMargins left="0.75" right="0.75" top="1" bottom="1" header="0.51200000000000001" footer="0.51200000000000001"/>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heet09.曲げ降伏耐力_ボタン1_Click">
                <anchor>
                  <from>
                    <xdr:col>0</xdr:col>
                    <xdr:colOff>0</xdr:colOff>
                    <xdr:row>0</xdr:row>
                    <xdr:rowOff>0</xdr:rowOff>
                  </from>
                  <to>
                    <xdr:col>1</xdr:col>
                    <xdr:colOff>0</xdr:colOff>
                    <xdr:row>1</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versions xmlns="http://schemas.microsoft.com/SolverFoundationForExcel/Version">
  <addinversion>3.1</addinversion>
</versions>
</file>

<file path=customXml/itemProps1.xml><?xml version="1.0" encoding="utf-8"?>
<ds:datastoreItem xmlns:ds="http://schemas.openxmlformats.org/officeDocument/2006/customXml" ds:itemID="{17364FE0-6C13-4612-B7D2-18251F46C006}">
  <ds:schemaRefs>
    <ds:schemaRef ds:uri="http://schemas.microsoft.com/SolverFoundation/"/>
    <ds:schemaRef ds:uri="http://www.w3.org/2001/XMLSchema"/>
  </ds:schemaRefs>
</ds:datastoreItem>
</file>

<file path=customXml/itemProps2.xml><?xml version="1.0" encoding="utf-8"?>
<ds:datastoreItem xmlns:ds="http://schemas.openxmlformats.org/officeDocument/2006/customXml" ds:itemID="{95229043-683E-466E-A344-C4C73A575A45}">
  <ds:schemaRefs>
    <ds:schemaRef ds:uri="http://schemas.microsoft.com/SolverFoundationForExcel/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ご利用方法</vt:lpstr>
      <vt:lpstr>許容応力度</vt:lpstr>
      <vt:lpstr>安全性破壊 曲げモーメント</vt:lpstr>
      <vt:lpstr>安全性破壊 せん断力</vt:lpstr>
      <vt:lpstr>耐久性 曲げひび割れ</vt:lpstr>
      <vt:lpstr>耐久性 せん断ひび割れ</vt:lpstr>
      <vt:lpstr>安全性疲労破壊 曲げモーメント</vt:lpstr>
      <vt:lpstr>安全性疲労破壊 せん断力</vt:lpstr>
      <vt:lpstr>復旧性 曲げモーメント</vt:lpstr>
      <vt:lpstr>'安全性破壊 曲げモーメント'!Print_Area</vt:lpstr>
      <vt:lpstr>許容応力度!Print_Titles</vt:lpstr>
      <vt:lpstr>パスワード</vt:lpstr>
      <vt:lpstr>ユーザー名</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笹澤陽佑</cp:lastModifiedBy>
  <cp:lastPrinted>2017-08-31T01:47:06Z</cp:lastPrinted>
  <dcterms:created xsi:type="dcterms:W3CDTF">2014-11-11T12:34:56Z</dcterms:created>
  <dcterms:modified xsi:type="dcterms:W3CDTF">2018-07-02T08:16:38Z</dcterms:modified>
</cp:coreProperties>
</file>