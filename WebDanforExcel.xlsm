
<file path=[Content_Types].xml><?xml version="1.0" encoding="utf-8"?>
<Types xmlns="http://schemas.openxmlformats.org/package/2006/content-types">
  <Default Extension="bin" ContentType="application/vnd.openxmlformats-officedocument.oleObjec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printerSettings/printerSettings8.bin" ContentType="application/vnd.openxmlformats-officedocument.spreadsheetml.printerSettings"/>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D:\Document\Project\WebDanforExcel\"/>
    </mc:Choice>
  </mc:AlternateContent>
  <xr:revisionPtr revIDLastSave="0" documentId="13_ncr:1_{FDD3020C-C63C-4733-BBBE-4A9562954189}" xr6:coauthVersionLast="47" xr6:coauthVersionMax="47" xr10:uidLastSave="{00000000-0000-0000-0000-000000000000}"/>
  <bookViews>
    <workbookView xWindow="-120" yWindow="-120" windowWidth="29040" windowHeight="15840" tabRatio="753" activeTab="4" xr2:uid="{00000000-000D-0000-FFFF-FFFF00000000}"/>
  </bookViews>
  <sheets>
    <sheet name="ご利用方法" sheetId="13" r:id="rId1"/>
    <sheet name="許容応力度" sheetId="14" r:id="rId2"/>
    <sheet name="安全性破壊 曲げモーメント" sheetId="4" r:id="rId3"/>
    <sheet name="安全性破壊 せん断力" sheetId="8" r:id="rId4"/>
    <sheet name="耐久性 曲げひび割れ" sheetId="1" r:id="rId5"/>
    <sheet name="耐久性 せん断ひび割れ" sheetId="5" r:id="rId6"/>
    <sheet name="安全性疲労破壊 曲げモーメント" sheetId="9" r:id="rId7"/>
    <sheet name="安全性疲労破壊 せん断力" sheetId="11" r:id="rId8"/>
    <sheet name="復旧性 曲げモーメント" sheetId="12" r:id="rId9"/>
  </sheets>
  <functionGroups builtInGroupCount="19"/>
  <externalReferences>
    <externalReference r:id="rId10"/>
    <externalReference r:id="rId11"/>
    <externalReference r:id="rId12"/>
    <externalReference r:id="rId13"/>
    <externalReference r:id="rId14"/>
  </externalReferences>
  <definedNames>
    <definedName name="___DEL2" hidden="1">#REF!</definedName>
    <definedName name="__DEL2" hidden="1">#REF!</definedName>
    <definedName name="_1__123Graph_Aｸﾞﾗﾌ_1" localSheetId="1" hidden="1">#REF!</definedName>
    <definedName name="_1__123Graph_Aｸﾞﾗﾌ_1" hidden="1">#REF!</definedName>
    <definedName name="_10__123Graph_Cｸﾞﾗﾌ_4" localSheetId="1" hidden="1">#REF!</definedName>
    <definedName name="_10__123Graph_Cｸﾞﾗﾌ_4" hidden="1">#REF!</definedName>
    <definedName name="_11__123Graph_Dｸﾞﾗﾌ_1" hidden="1">[1]躯体の設計!$AO$1064:$AO$1065</definedName>
    <definedName name="_12__123Graph_Dｸﾞﾗﾌ_4" localSheetId="1" hidden="1">#REF!</definedName>
    <definedName name="_12__123Graph_Dｸﾞﾗﾌ_4" hidden="1">#REF!</definedName>
    <definedName name="_13__123Graph_Xｸﾞﾗﾌ_1" hidden="1">[1]躯体の設計!$AJ$1064:$AJ$1065</definedName>
    <definedName name="_14__123Graph_Xｸﾞﾗﾌ_2" localSheetId="1" hidden="1">#REF!</definedName>
    <definedName name="_14__123Graph_Xｸﾞﾗﾌ_2" hidden="1">#REF!</definedName>
    <definedName name="_15__123Graph_Xｸﾞﾗﾌ_3" localSheetId="1" hidden="1">#REF!</definedName>
    <definedName name="_15__123Graph_Xｸﾞﾗﾌ_3" hidden="1">#REF!</definedName>
    <definedName name="_2__123Graph_Aｸﾞﾗﾌ_2" localSheetId="1" hidden="1">#REF!</definedName>
    <definedName name="_2__123Graph_Aｸﾞﾗﾌ_2" hidden="1">#REF!</definedName>
    <definedName name="_3__123Graph_Aｸﾞﾗﾌ_3" localSheetId="1" hidden="1">#REF!</definedName>
    <definedName name="_3__123Graph_Aｸﾞﾗﾌ_3" hidden="1">#REF!</definedName>
    <definedName name="_4__123Graph_Aｸﾞﾗﾌ_4" localSheetId="1" hidden="1">#REF!</definedName>
    <definedName name="_4__123Graph_Aｸﾞﾗﾌ_4" hidden="1">#REF!</definedName>
    <definedName name="_5__123Graph_Bｸﾞﾗﾌ_1" localSheetId="1" hidden="1">#REF!</definedName>
    <definedName name="_5__123Graph_Bｸﾞﾗﾌ_1" hidden="1">#REF!</definedName>
    <definedName name="_6__123Graph_Bｸﾞﾗﾌ_2" localSheetId="1" hidden="1">#REF!</definedName>
    <definedName name="_6__123Graph_Bｸﾞﾗﾌ_2" hidden="1">#REF!</definedName>
    <definedName name="_7__123Graph_Bｸﾞﾗﾌ_3" localSheetId="1" hidden="1">#REF!</definedName>
    <definedName name="_7__123Graph_Bｸﾞﾗﾌ_3" hidden="1">#REF!</definedName>
    <definedName name="_8__123Graph_Bｸﾞﾗﾌ_4" localSheetId="1" hidden="1">#REF!</definedName>
    <definedName name="_8__123Graph_Bｸﾞﾗﾌ_4" hidden="1">#REF!</definedName>
    <definedName name="_9__123Graph_Cｸﾞﾗﾌ_1" hidden="1">[1]躯体の設計!$AN$1064:$AN$1065</definedName>
    <definedName name="_DEL2" localSheetId="1" hidden="1">#REF!</definedName>
    <definedName name="_DEL2" hidden="1">#REF!</definedName>
    <definedName name="_Fill" localSheetId="1" hidden="1">#REF!</definedName>
    <definedName name="_Fill" hidden="1">#REF!</definedName>
    <definedName name="_Table1_In1" localSheetId="1" hidden="1">[2]ｽｲﾍｲ!$C$22</definedName>
    <definedName name="_Table1_In1" hidden="1">[3]ｽｲﾍｲ!$C$22</definedName>
    <definedName name="_Table1_Out" localSheetId="1" hidden="1">[2]ｽｲﾍｲ!$D$22</definedName>
    <definedName name="_Table1_Out" hidden="1">[3]ｽｲﾍｲ!$D$22</definedName>
    <definedName name="_Table2" localSheetId="1" hidden="1">[4]ｽｲﾍｲ!$D$22</definedName>
    <definedName name="_Table2" hidden="1">[5]ｽｲﾍｲ!$D$22</definedName>
    <definedName name="anscount" hidden="1">1</definedName>
    <definedName name="DEL" localSheetId="1" hidden="1">#REF!</definedName>
    <definedName name="DEL" hidden="1">#REF!</definedName>
    <definedName name="HTML_CodePage" hidden="1">932</definedName>
    <definedName name="HTML_Control" localSheetId="1" hidden="1">{"'表紙・目次 '!$A$8:$K$8"}</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_xlnm.Print_Area" localSheetId="2">'安全性破壊 曲げモーメント'!$A$1:$C$33</definedName>
    <definedName name="_xlnm.Print_Titles" localSheetId="1">許容応力度!$A:$A</definedName>
    <definedName name="ええ" localSheetId="1" hidden="1">{"'表紙・目次 '!$A$8:$K$8"}</definedName>
    <definedName name="ええ" hidden="1">{"'表紙・目次 '!$A$8:$K$8"}</definedName>
    <definedName name="パスワード">ご利用方法!$B$21</definedName>
    <definedName name="ユーザー名">ご利用方法!$B$19</definedName>
    <definedName name="終局せん断" localSheetId="1" hidden="1">{"'表紙・目次 '!$A$8:$K$8"}</definedName>
    <definedName name="終局せん断" hidden="1">{"'表紙・目次 '!$A$8:$K$8"}</definedName>
    <definedName name="設計条件" localSheetId="1" hidden="1">{"'表紙・目次 '!$A$8:$K$8"}</definedName>
    <definedName name="設計条件" hidden="1">{"'表紙・目次 '!$A$8:$K$8"}</definedName>
    <definedName name="抵抗モーメント" localSheetId="1" hidden="1">[4]ｽｲﾍｲ!$C$22</definedName>
    <definedName name="抵抗モーメント" hidden="1">[5]ｽｲﾍｲ!$C$22</definedName>
    <definedName name="白紙" localSheetId="1" hidden="1">[2]ｽｲﾍｲ!$C$22</definedName>
    <definedName name="白紙" hidden="1">[3]ｽｲﾍｲ!$C$22</definedName>
  </definedNames>
  <calcPr calcId="191029"/>
</workbook>
</file>

<file path=xl/calcChain.xml><?xml version="1.0" encoding="utf-8"?>
<calcChain xmlns="http://schemas.openxmlformats.org/spreadsheetml/2006/main">
  <c r="C26" i="14" l="1"/>
  <c r="C30" i="14"/>
  <c r="C29" i="14"/>
  <c r="C32" i="14" l="1"/>
  <c r="C34" i="14" s="1"/>
  <c r="C36" i="14"/>
  <c r="C40" i="14" l="1"/>
  <c r="C38" i="14"/>
  <c r="C39" i="14" s="1"/>
  <c r="C30" i="4"/>
  <c r="C32" i="4" s="1"/>
  <c r="C33" i="4" s="1"/>
  <c r="C23" i="4"/>
  <c r="C24" i="4" s="1"/>
  <c r="C17" i="4"/>
  <c r="C19" i="4" s="1"/>
  <c r="C16" i="4"/>
  <c r="B17" i="4"/>
  <c r="C17" i="14"/>
  <c r="C15" i="14"/>
  <c r="C18" i="14" l="1"/>
  <c r="C42" i="14"/>
  <c r="C20" i="5"/>
  <c r="C17" i="5"/>
  <c r="C34" i="5" s="1"/>
  <c r="C36" i="5"/>
  <c r="C39" i="5"/>
  <c r="C35" i="5"/>
  <c r="C40" i="5" l="1"/>
  <c r="C37" i="5"/>
  <c r="C42" i="5"/>
  <c r="C43" i="5" l="1"/>
  <c r="C53" i="5" l="1"/>
  <c r="C57" i="5" s="1"/>
  <c r="B16" i="4"/>
  <c r="C45" i="5"/>
  <c r="C49" i="5"/>
  <c r="C46" i="5" l="1"/>
  <c r="N110" i="13"/>
  <c r="N111" i="13"/>
  <c r="N112" i="13" s="1"/>
  <c r="N113" i="13" s="1"/>
  <c r="N114" i="13" s="1"/>
  <c r="N115" i="13" s="1"/>
  <c r="N116" i="13" s="1"/>
  <c r="B17" i="8"/>
  <c r="B53" i="8" s="1"/>
  <c r="B20" i="8"/>
  <c r="B19" i="4"/>
  <c r="B23" i="4"/>
  <c r="B24" i="4" s="1"/>
  <c r="B30" i="4"/>
  <c r="B32" i="4" s="1"/>
  <c r="B33" i="4" s="1"/>
  <c r="B17" i="11"/>
  <c r="B34" i="11" s="1"/>
  <c r="B20" i="11"/>
  <c r="B45" i="11"/>
  <c r="B47" i="11"/>
  <c r="B49" i="11"/>
  <c r="B52" i="11"/>
  <c r="B54" i="11"/>
  <c r="B60" i="11"/>
  <c r="B67" i="11"/>
  <c r="B70" i="11"/>
  <c r="B16" i="9"/>
  <c r="B19" i="9"/>
  <c r="B27" i="9"/>
  <c r="B29" i="9" s="1"/>
  <c r="B30" i="9" s="1"/>
  <c r="B17" i="5"/>
  <c r="B20" i="5"/>
  <c r="B34" i="5"/>
  <c r="B16" i="1"/>
  <c r="B19" i="1"/>
  <c r="B18" i="12"/>
  <c r="B21" i="12"/>
  <c r="B29" i="12"/>
  <c r="B31" i="12" s="1"/>
  <c r="B32" i="12" s="1"/>
  <c r="B38" i="8"/>
  <c r="B35" i="11"/>
  <c r="B39" i="11"/>
  <c r="B35" i="5"/>
  <c r="B47" i="8"/>
  <c r="C47" i="5"/>
  <c r="B39" i="5"/>
  <c r="B23" i="1"/>
  <c r="B42" i="8"/>
  <c r="B40" i="8"/>
  <c r="B36" i="5"/>
  <c r="B36" i="11"/>
  <c r="B55" i="8"/>
  <c r="B39" i="8"/>
  <c r="B25" i="1"/>
  <c r="C50" i="5" l="1"/>
  <c r="B40" i="11"/>
  <c r="B43" i="8"/>
  <c r="B40" i="5"/>
  <c r="B57" i="8"/>
  <c r="B58" i="8" s="1"/>
  <c r="B26" i="1"/>
  <c r="B31" i="1"/>
  <c r="B32" i="1" s="1"/>
  <c r="B37" i="5"/>
  <c r="B41" i="8"/>
  <c r="B37" i="11"/>
  <c r="B33" i="9"/>
  <c r="B37" i="9" s="1"/>
  <c r="B39" i="9" s="1"/>
  <c r="B40" i="9" s="1"/>
  <c r="B42" i="11"/>
  <c r="B45" i="8"/>
  <c r="C52" i="5"/>
  <c r="B42" i="5"/>
  <c r="C56" i="5" l="1"/>
  <c r="C58" i="5" s="1"/>
  <c r="B49" i="8"/>
  <c r="B51" i="8" s="1"/>
  <c r="B52" i="8" s="1"/>
  <c r="B43" i="5"/>
  <c r="B44" i="1"/>
  <c r="B46" i="1" s="1"/>
  <c r="B47" i="1" s="1"/>
  <c r="B44" i="11"/>
  <c r="B46" i="11"/>
  <c r="B48" i="11" l="1"/>
  <c r="B51" i="11" s="1"/>
  <c r="B53" i="5"/>
  <c r="B57" i="5" s="1"/>
  <c r="B49" i="5"/>
  <c r="B45" i="5"/>
  <c r="B46" i="5" l="1"/>
  <c r="B59" i="11"/>
  <c r="B53" i="11"/>
  <c r="B47" i="5"/>
  <c r="B50" i="5" l="1"/>
  <c r="B66" i="11"/>
  <c r="B69" i="11" s="1"/>
  <c r="B71" i="11" s="1"/>
  <c r="B52" i="5"/>
  <c r="B56" i="5" l="1"/>
  <c r="B58" i="5" s="1"/>
</calcChain>
</file>

<file path=xl/sharedStrings.xml><?xml version="1.0" encoding="utf-8"?>
<sst xmlns="http://schemas.openxmlformats.org/spreadsheetml/2006/main" count="550" uniqueCount="384">
  <si>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</si>
  <si>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</si>
  <si>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</si>
  <si>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</si>
  <si>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</si>
  <si>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</si>
  <si>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</si>
  <si>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</si>
  <si>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</si>
  <si>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</si>
  <si>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</si>
  <si>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</si>
  <si>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</si>
  <si>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</si>
  <si>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</si>
  <si>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</si>
  <si>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</si>
  <si>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</si>
  <si>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</si>
  <si>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</si>
  <si>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</si>
  <si>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</si>
  <si>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</si>
  <si>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</si>
  <si>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</si>
  <si>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</si>
  <si>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</si>
  <si>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</si>
  <si>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</si>
  <si>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</si>
  <si>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</si>
  <si>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</si>
  <si>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</si>
  <si>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</si>
  <si>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</si>
  <si>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</si>
  <si>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</si>
  <si>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</si>
  <si>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</si>
  <si>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</si>
  <si>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</si>
  <si>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</si>
  <si>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</si>
  <si>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</si>
  <si>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</si>
  <si>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</si>
  <si>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</si>
  <si>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</si>
  <si>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</si>
  <si>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</si>
  <si>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</si>
  <si>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</si>
  <si>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</si>
  <si>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</si>
  <si>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</si>
  <si>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</si>
  <si>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</si>
  <si>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</si>
  <si>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</si>
  <si>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</si>
  <si>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</si>
  <si>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</si>
  <si>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</si>
  <si>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</si>
  <si>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</si>
  <si>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</si>
  <si>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</si>
  <si>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</si>
  <si>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</si>
  <si>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</si>
  <si>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</si>
  <si>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</si>
  <si>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</si>
  <si>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</si>
  <si>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</si>
  <si>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</si>
  <si>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</si>
  <si>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</si>
  <si>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</si>
  <si>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</si>
  <si>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</si>
  <si>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</si>
  <si>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</si>
  <si>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</si>
  <si>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</si>
  <si>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</si>
  <si>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</si>
  <si>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</si>
  <si>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</si>
  <si>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</si>
  <si>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</si>
  <si>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</si>
  <si>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</si>
  <si>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</si>
  <si>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</si>
  <si>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</si>
  <si>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</si>
  <si>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</si>
  <si>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</si>
  <si>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</si>
  <si>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</si>
  <si>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</si>
  <si>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</si>
  <si>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</si>
  <si>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</si>
  <si>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</si>
  <si>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</si>
  <si>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</si>
  <si>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</si>
  <si>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</si>
  <si>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</si>
  <si>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</si>
  <si>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</si>
  <si>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</si>
  <si>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</si>
  <si>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</si>
  <si>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</si>
  <si>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</si>
  <si>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</si>
  <si>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</si>
  <si>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</si>
  <si>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</si>
  <si>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</si>
  <si>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</si>
  <si>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</si>
  <si>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</si>
  <si>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</si>
  <si>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</si>
  <si>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</si>
  <si>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</si>
  <si>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</si>
  <si>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</si>
  <si>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</si>
  <si>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</si>
  <si>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</si>
  <si>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</si>
  <si>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</si>
  <si>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</si>
  <si>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</si>
  <si>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</si>
  <si>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</si>
  <si>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</si>
  <si>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</si>
  <si>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</si>
  <si>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</si>
  <si>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</si>
  <si>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</si>
  <si>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</si>
  <si>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</si>
  <si>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</si>
  <si>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</si>
  <si>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</si>
  <si>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</si>
  <si>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</si>
  <si>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</si>
  <si>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</si>
  <si>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</si>
  <si>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</si>
  <si>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</si>
  <si>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</si>
  <si>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</si>
  <si>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</si>
  <si>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</si>
  <si>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</si>
  <si>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</si>
  <si>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</si>
  <si>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</si>
  <si>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</si>
  <si>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</si>
  <si>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</si>
  <si>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</si>
  <si>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</si>
  <si>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</si>
  <si>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</si>
  <si>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</si>
  <si>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</si>
  <si>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</si>
  <si>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</si>
  <si>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</si>
  <si>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</si>
  <si>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</si>
  <si>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</si>
  <si>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</si>
  <si>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</si>
  <si>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</si>
  <si>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</si>
  <si>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</si>
  <si>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</si>
  <si>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</si>
  <si>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</si>
  <si>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</si>
  <si>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</si>
  <si>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</si>
  <si>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</si>
  <si>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</si>
  <si>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</si>
  <si>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</si>
  <si>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</si>
  <si>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</si>
  <si>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</si>
  <si>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</si>
  <si>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</si>
  <si>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</si>
  <si>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</si>
  <si>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</si>
  <si>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</si>
  <si>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</si>
  <si>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</si>
  <si>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</si>
  <si>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</si>
  <si>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</si>
  <si>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</si>
  <si>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</si>
  <si>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</si>
  <si>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</si>
  <si>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</si>
  <si>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</si>
  <si>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</si>
  <si>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</si>
  <si>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</si>
  <si>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</si>
  <si>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</si>
  <si>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</si>
  <si>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</si>
  <si>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</si>
  <si>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</si>
  <si>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</si>
  <si>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</si>
  <si>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</si>
  <si>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</si>
  <si>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</si>
  <si>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</si>
  <si>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</si>
  <si>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</si>
  <si>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</si>
  <si>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</si>
  <si>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</si>
  <si>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</si>
  <si>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</si>
  <si>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</si>
  <si>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</si>
  <si>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</si>
  <si>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</si>
  <si>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</si>
  <si>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</si>
  <si>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</si>
  <si>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</si>
  <si>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</si>
  <si>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</si>
  <si>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</si>
  <si>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</si>
  <si>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</si>
  <si>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</si>
  <si>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</si>
  <si>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</si>
  <si>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</si>
  <si>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</si>
  <si>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</si>
  <si>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</si>
  <si>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</si>
  <si>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</si>
  <si>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</si>
  <si>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</si>
  <si>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</si>
  <si>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</si>
  <si>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</si>
  <si>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</si>
  <si>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</si>
  <si>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</si>
  <si>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</si>
  <si>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</si>
  <si>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</si>
  <si>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</si>
  <si>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</si>
  <si>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</si>
  <si>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</si>
  <si>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</si>
  <si>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</si>
  <si>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</si>
  <si>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</si>
  <si>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</si>
  <si>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</si>
  <si>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</si>
  <si>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</si>
  <si>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</si>
  <si>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</si>
  <si>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</si>
  <si>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</si>
  <si>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</si>
  <si>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</si>
  <si>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</si>
  <si>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</si>
  <si>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</si>
  <si>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</si>
  <si>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</si>
  <si>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</si>
  <si>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</si>
  <si>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</si>
  <si>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</si>
  <si>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</si>
  <si>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</si>
  <si>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</si>
  <si>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</si>
  <si>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</si>
  <si>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</si>
  <si>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</si>
  <si>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</si>
  <si>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</si>
  <si>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</si>
  <si>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</si>
  <si>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</si>
  <si>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</si>
  <si>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</si>
  <si>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</si>
  <si>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</si>
  <si>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</si>
  <si>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</si>
  <si>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</si>
  <si>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</si>
  <si>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</si>
  <si>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</si>
  <si>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</si>
  <si>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</si>
  <si>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</si>
  <si>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</si>
  <si>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</si>
  <si>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</si>
  <si>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</si>
  <si>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</si>
  <si>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</si>
  <si>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</si>
  <si>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</si>
  <si>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</si>
  <si>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</si>
  <si>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</si>
  <si>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</si>
  <si>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</si>
  <si>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</si>
  <si>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</si>
  <si>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t>柱</t>
    <rPh sb="0" eb="1">
      <t>ハシラ</t>
    </rPh>
    <phoneticPr fontId="2"/>
  </si>
  <si>
    <t>Ｖyd (kN)</t>
    <phoneticPr fontId="2"/>
  </si>
  <si>
    <t>円形</t>
  </si>
  <si>
    <t>D32-56
D32-56</t>
    <phoneticPr fontId="2"/>
  </si>
  <si>
    <t>70
150</t>
    <phoneticPr fontId="2"/>
  </si>
  <si>
    <t>L1C1柱</t>
    <rPh sb="4" eb="5">
      <t>ハシラ</t>
    </rPh>
    <phoneticPr fontId="2"/>
  </si>
  <si>
    <t>断面</t>
    <rPh sb="0" eb="2">
      <t>ダンメン</t>
    </rPh>
    <phoneticPr fontId="78"/>
  </si>
  <si>
    <t>鉄筋</t>
    <rPh sb="0" eb="2">
      <t>テッキン</t>
    </rPh>
    <phoneticPr fontId="78"/>
  </si>
  <si>
    <t>材料強度</t>
    <rPh sb="0" eb="2">
      <t>ザイリョウ</t>
    </rPh>
    <rPh sb="2" eb="4">
      <t>キョウド</t>
    </rPh>
    <phoneticPr fontId="78"/>
  </si>
  <si>
    <t>断面力</t>
    <rPh sb="0" eb="2">
      <t>ダンメン</t>
    </rPh>
    <rPh sb="2" eb="3">
      <t>リョク</t>
    </rPh>
    <phoneticPr fontId="2"/>
  </si>
  <si>
    <t>応力度</t>
    <rPh sb="0" eb="2">
      <t>オウリョク</t>
    </rPh>
    <rPh sb="2" eb="3">
      <t>ド</t>
    </rPh>
    <phoneticPr fontId="2"/>
  </si>
  <si>
    <t>許容応力度</t>
    <rPh sb="0" eb="2">
      <t>キョヨウ</t>
    </rPh>
    <rPh sb="2" eb="4">
      <t>オウリョク</t>
    </rPh>
    <rPh sb="4" eb="5">
      <t>ド</t>
    </rPh>
    <phoneticPr fontId="2"/>
  </si>
  <si>
    <t>σsa</t>
    <phoneticPr fontId="78"/>
  </si>
  <si>
    <t>せん断応力度の照査</t>
    <rPh sb="2" eb="3">
      <t>ダン</t>
    </rPh>
    <rPh sb="3" eb="5">
      <t>オウリョク</t>
    </rPh>
    <rPh sb="5" eb="6">
      <t>ド</t>
    </rPh>
    <rPh sb="7" eb="9">
      <t>ショウサ</t>
    </rPh>
    <phoneticPr fontId="2"/>
  </si>
  <si>
    <t>τｍ</t>
    <phoneticPr fontId="78"/>
  </si>
  <si>
    <t>許容値</t>
    <rPh sb="2" eb="3">
      <t>アタイ</t>
    </rPh>
    <phoneticPr fontId="2"/>
  </si>
  <si>
    <t>τa</t>
    <phoneticPr fontId="78"/>
  </si>
  <si>
    <t>斜め引張鉄筋</t>
    <rPh sb="0" eb="1">
      <t>ナナ</t>
    </rPh>
    <rPh sb="2" eb="4">
      <t>ヒッパリ</t>
    </rPh>
    <rPh sb="4" eb="6">
      <t>テッキン</t>
    </rPh>
    <phoneticPr fontId="2"/>
  </si>
  <si>
    <t>Ａ w (mm2)</t>
    <phoneticPr fontId="2"/>
  </si>
  <si>
    <t>a (mm)</t>
    <phoneticPr fontId="2"/>
  </si>
  <si>
    <t>Ｓ c (kN)</t>
    <phoneticPr fontId="2"/>
  </si>
  <si>
    <t>Ｓ s (kN)</t>
    <phoneticPr fontId="2"/>
  </si>
  <si>
    <t>σsa (N/mm2)</t>
    <phoneticPr fontId="2"/>
  </si>
  <si>
    <t>Ec (kN/mm2)</t>
    <phoneticPr fontId="2"/>
  </si>
  <si>
    <t>Es (kN/mm2)</t>
    <phoneticPr fontId="2"/>
  </si>
  <si>
    <t>σca (N/mm2)</t>
    <phoneticPr fontId="2"/>
  </si>
  <si>
    <t>許容応力度の計算</t>
    <rPh sb="0" eb="2">
      <t>キョヨウ</t>
    </rPh>
    <rPh sb="2" eb="4">
      <t>オウリョク</t>
    </rPh>
    <rPh sb="4" eb="5">
      <t>ド</t>
    </rPh>
    <rPh sb="6" eb="8">
      <t>ケイサン</t>
    </rPh>
    <phoneticPr fontId="2"/>
  </si>
  <si>
    <t>ｂf (mm)</t>
    <phoneticPr fontId="2"/>
  </si>
  <si>
    <t>ｈ, R (mm)</t>
    <phoneticPr fontId="2"/>
  </si>
  <si>
    <t>ｂ (mm)</t>
    <phoneticPr fontId="2"/>
  </si>
  <si>
    <t>ｂe, r (mm)</t>
    <phoneticPr fontId="2"/>
  </si>
  <si>
    <t>ｈf(mm)</t>
    <phoneticPr fontId="2"/>
  </si>
  <si>
    <t>ｄ (mm)</t>
    <phoneticPr fontId="2"/>
  </si>
  <si>
    <t>test1105</t>
    <phoneticPr fontId="2"/>
  </si>
  <si>
    <t>test1105</t>
    <phoneticPr fontId="2"/>
  </si>
  <si>
    <t>D32-30</t>
    <phoneticPr fontId="2"/>
  </si>
  <si>
    <t>Ｓd (kN)</t>
    <phoneticPr fontId="2"/>
  </si>
  <si>
    <t>Ｎ d (kN)</t>
    <phoneticPr fontId="2"/>
  </si>
  <si>
    <t>D13-2</t>
    <phoneticPr fontId="2"/>
  </si>
  <si>
    <t>柱１</t>
    <rPh sb="0" eb="1">
      <t>ハシラ</t>
    </rPh>
    <phoneticPr fontId="2"/>
  </si>
  <si>
    <t>下端</t>
    <rPh sb="0" eb="2">
      <t>カタン</t>
    </rPh>
    <phoneticPr fontId="2"/>
  </si>
  <si>
    <t>┃　　〒181-0013　東京都三鷹市下連雀3丁目3-50</t>
    <phoneticPr fontId="2"/>
  </si>
  <si>
    <t>┃　　　　　　　　　　パークファミリア501</t>
    <phoneticPr fontId="2"/>
  </si>
  <si>
    <t>┃　　ＵＲＬ：https://structuralengine.com</t>
    <phoneticPr fontId="2"/>
  </si>
  <si>
    <t>D32-6.643</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</si>
</sst>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 numFmtId="187" formatCode="0.000_ "/>
  </numFmts>
  <fonts count="80">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family val="3"/>
      <charset val="255"/>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
      <sz val="6"/>
      <name val="ＭＳ 明朝"/>
      <family val="1"/>
      <charset val="128"/>
    </font>
    <font>
      <sz val="9"/>
      <color rgb="FFFF0000"/>
      <name val="ＭＳ 明朝"/>
      <family val="1"/>
      <charset val="128"/>
    </font>
  </fonts>
  <fills count="30">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
      <patternFill patternType="solid">
        <fgColor indexed="9"/>
        <bgColor indexed="64"/>
      </patternFill>
    </fill>
    <fill>
      <patternFill patternType="solid">
        <fgColor rgb="FFFFFF00"/>
        <bgColor indexed="64"/>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right style="hair">
        <color indexed="64"/>
      </right>
      <top style="thin">
        <color indexed="64"/>
      </top>
      <bottom/>
      <diagonal/>
    </border>
    <border>
      <left/>
      <right style="hair">
        <color indexed="64"/>
      </right>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s>
  <cellStyleXfs count="391">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63" fillId="0" borderId="0"/>
    <xf numFmtId="0" fontId="63" fillId="0" borderId="0"/>
    <xf numFmtId="0" fontId="48" fillId="0" borderId="0"/>
    <xf numFmtId="0" fontId="4" fillId="0" borderId="0"/>
    <xf numFmtId="0" fontId="28" fillId="0" borderId="0">
      <alignment vertical="center"/>
    </xf>
  </cellStyleXfs>
  <cellXfs count="249">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 fillId="25" borderId="19" xfId="0" applyNumberFormat="1" applyFont="1" applyFill="1" applyBorder="1" applyAlignment="1" applyProtection="1">
      <alignment horizontal="center" vertical="center" wrapText="1"/>
      <protection locked="0"/>
    </xf>
    <xf numFmtId="0" fontId="3" fillId="0" borderId="20" xfId="0" applyNumberFormat="1" applyFont="1" applyFill="1" applyBorder="1" applyAlignment="1" applyProtection="1">
      <alignment horizontal="center"/>
    </xf>
    <xf numFmtId="0" fontId="6" fillId="0" borderId="24" xfId="0" applyNumberFormat="1" applyFont="1" applyFill="1" applyBorder="1" applyAlignment="1" applyProtection="1">
      <alignment horizontal="center" wrapText="1"/>
      <protection locked="0"/>
    </xf>
    <xf numFmtId="0" fontId="3" fillId="0" borderId="0" xfId="0" applyNumberFormat="1" applyFont="1" applyAlignment="1" applyProtection="1">
      <alignment horizontal="center"/>
      <protection locked="0"/>
    </xf>
    <xf numFmtId="0" fontId="3" fillId="0" borderId="0" xfId="386" applyFont="1" applyProtection="1">
      <protection locked="0"/>
    </xf>
    <xf numFmtId="0" fontId="3" fillId="0" borderId="0" xfId="0" applyNumberFormat="1" applyFont="1" applyAlignment="1" applyProtection="1">
      <alignment horizontal="left"/>
      <protection locked="0"/>
    </xf>
    <xf numFmtId="0" fontId="3" fillId="0" borderId="0" xfId="387" applyFont="1" applyProtection="1">
      <protection locked="0"/>
    </xf>
    <xf numFmtId="0" fontId="3" fillId="0" borderId="30" xfId="0" applyNumberFormat="1" applyFont="1" applyBorder="1" applyAlignment="1" applyProtection="1">
      <alignment horizontal="left" indent="1"/>
      <protection locked="0"/>
    </xf>
    <xf numFmtId="0" fontId="3" fillId="0" borderId="0" xfId="388" applyFont="1" applyProtection="1">
      <protection locked="0"/>
    </xf>
    <xf numFmtId="176" fontId="79" fillId="29" borderId="19" xfId="388" applyNumberFormat="1" applyFont="1" applyFill="1" applyBorder="1" applyAlignment="1" applyProtection="1">
      <alignment horizontal="center"/>
      <protection locked="0"/>
    </xf>
    <xf numFmtId="177" fontId="3" fillId="0" borderId="19" xfId="388" applyNumberFormat="1" applyFont="1" applyFill="1" applyBorder="1" applyAlignment="1" applyProtection="1">
      <alignment horizontal="center"/>
      <protection locked="0"/>
    </xf>
    <xf numFmtId="178" fontId="8" fillId="26" borderId="19" xfId="0" applyNumberFormat="1" applyFont="1" applyFill="1" applyBorder="1" applyAlignment="1" applyProtection="1">
      <alignment horizontal="center"/>
      <protection locked="0"/>
    </xf>
    <xf numFmtId="2" fontId="8" fillId="26" borderId="19" xfId="0" applyNumberFormat="1" applyFont="1" applyFill="1" applyBorder="1" applyAlignment="1" applyProtection="1">
      <alignment horizontal="center"/>
      <protection locked="0"/>
    </xf>
    <xf numFmtId="2" fontId="79" fillId="0" borderId="19" xfId="0" applyNumberFormat="1" applyFont="1" applyFill="1" applyBorder="1" applyAlignment="1" applyProtection="1">
      <alignment horizontal="center"/>
      <protection locked="0"/>
    </xf>
    <xf numFmtId="0" fontId="3" fillId="0" borderId="39" xfId="0" applyNumberFormat="1" applyFont="1" applyBorder="1" applyAlignment="1" applyProtection="1">
      <alignment horizontal="left" indent="1"/>
      <protection locked="0"/>
    </xf>
    <xf numFmtId="0" fontId="3" fillId="0" borderId="0" xfId="388" applyFont="1" applyBorder="1" applyAlignment="1" applyProtection="1">
      <alignment vertical="center" textRotation="255"/>
      <protection locked="0"/>
    </xf>
    <xf numFmtId="0" fontId="3" fillId="0" borderId="0" xfId="0" applyNumberFormat="1" applyFont="1" applyBorder="1" applyAlignment="1" applyProtection="1">
      <alignment horizontal="left" indent="1"/>
      <protection locked="0"/>
    </xf>
    <xf numFmtId="0" fontId="3" fillId="0" borderId="0" xfId="0" applyNumberFormat="1" applyFont="1" applyBorder="1" applyAlignment="1" applyProtection="1">
      <alignment horizontal="center"/>
      <protection locked="0"/>
    </xf>
    <xf numFmtId="0" fontId="3" fillId="0" borderId="0" xfId="390" applyFont="1" applyAlignment="1" applyProtection="1">
      <alignment horizontal="left" vertical="center"/>
      <protection locked="0"/>
    </xf>
    <xf numFmtId="0" fontId="3" fillId="0" borderId="0" xfId="389" applyFont="1" applyFill="1" applyAlignment="1" applyProtection="1">
      <protection locked="0"/>
    </xf>
    <xf numFmtId="0" fontId="3" fillId="0" borderId="0" xfId="389" applyFont="1" applyFill="1" applyAlignment="1" applyProtection="1">
      <alignment horizontal="center"/>
      <protection locked="0"/>
    </xf>
    <xf numFmtId="0" fontId="3" fillId="0" borderId="38" xfId="0" applyNumberFormat="1" applyFont="1" applyBorder="1" applyAlignment="1" applyProtection="1">
      <alignment horizontal="left" indent="1"/>
      <protection locked="0"/>
    </xf>
    <xf numFmtId="0" fontId="3" fillId="28" borderId="30" xfId="388" applyFont="1" applyFill="1" applyBorder="1" applyAlignment="1" applyProtection="1">
      <alignment horizontal="left" indent="1" shrinkToFit="1"/>
      <protection locked="0"/>
    </xf>
    <xf numFmtId="187" fontId="79" fillId="0" borderId="19" xfId="388" applyNumberFormat="1" applyFont="1" applyFill="1" applyBorder="1" applyAlignment="1" applyProtection="1">
      <alignment horizontal="center"/>
      <protection locked="0"/>
    </xf>
    <xf numFmtId="176" fontId="6" fillId="0" borderId="19" xfId="388" applyNumberFormat="1" applyFont="1" applyFill="1" applyBorder="1" applyAlignment="1" applyProtection="1">
      <alignment horizontal="center"/>
      <protection locked="0"/>
    </xf>
    <xf numFmtId="0" fontId="3" fillId="0" borderId="30" xfId="0" applyNumberFormat="1" applyFont="1" applyFill="1" applyBorder="1" applyAlignment="1" applyProtection="1">
      <alignment horizontal="left" indent="1"/>
      <protection locked="0"/>
    </xf>
    <xf numFmtId="176" fontId="3" fillId="0" borderId="24" xfId="388" applyNumberFormat="1" applyFont="1" applyFill="1" applyBorder="1" applyAlignment="1" applyProtection="1">
      <alignment horizontal="center"/>
    </xf>
    <xf numFmtId="176" fontId="3" fillId="0" borderId="19" xfId="388" applyNumberFormat="1" applyFont="1" applyFill="1" applyBorder="1" applyAlignment="1" applyProtection="1">
      <alignment horizontal="center"/>
    </xf>
    <xf numFmtId="187" fontId="3" fillId="0" borderId="19" xfId="388" applyNumberFormat="1" applyFont="1" applyFill="1" applyBorder="1" applyAlignment="1" applyProtection="1">
      <alignment horizontal="center"/>
    </xf>
    <xf numFmtId="176" fontId="3" fillId="0" borderId="20" xfId="388" applyNumberFormat="1" applyFont="1" applyFill="1" applyBorder="1" applyAlignment="1" applyProtection="1">
      <alignment horizontal="center"/>
    </xf>
    <xf numFmtId="0" fontId="66" fillId="27" borderId="35" xfId="377" applyFont="1" applyFill="1" applyBorder="1" applyAlignment="1">
      <alignment horizontal="center" vertical="center" wrapText="1"/>
    </xf>
    <xf numFmtId="0" fontId="66" fillId="27" borderId="36" xfId="377" applyFont="1" applyFill="1" applyBorder="1" applyAlignment="1">
      <alignment horizontal="center" vertical="center" wrapText="1"/>
    </xf>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58" fillId="0" borderId="37" xfId="0" applyFont="1" applyFill="1" applyBorder="1" applyAlignment="1">
      <alignment horizontal="left" vertical="center"/>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xf numFmtId="0" fontId="3" fillId="0" borderId="13" xfId="0" applyNumberFormat="1" applyFont="1" applyBorder="1" applyAlignment="1" applyProtection="1">
      <alignment horizontal="left" indent="1"/>
      <protection locked="0"/>
    </xf>
    <xf numFmtId="0" fontId="3" fillId="0" borderId="38" xfId="0" applyNumberFormat="1" applyFont="1" applyBorder="1" applyAlignment="1" applyProtection="1">
      <alignment horizontal="left" indent="1"/>
      <protection locked="0"/>
    </xf>
    <xf numFmtId="0" fontId="3" fillId="0" borderId="14" xfId="0" applyNumberFormat="1" applyFont="1" applyBorder="1" applyAlignment="1" applyProtection="1">
      <alignment horizontal="left" indent="1"/>
      <protection locked="0"/>
    </xf>
    <xf numFmtId="0" fontId="3" fillId="0" borderId="30" xfId="0" applyNumberFormat="1" applyFont="1" applyBorder="1" applyAlignment="1" applyProtection="1">
      <alignment horizontal="left" indent="1"/>
      <protection locked="0"/>
    </xf>
    <xf numFmtId="0" fontId="3" fillId="0" borderId="14" xfId="388" applyFont="1" applyBorder="1" applyAlignment="1" applyProtection="1">
      <alignment vertical="center" textRotation="255"/>
      <protection locked="0"/>
    </xf>
    <xf numFmtId="0" fontId="3" fillId="0" borderId="15" xfId="388" applyFont="1" applyBorder="1" applyAlignment="1" applyProtection="1">
      <alignment vertical="center" textRotation="255"/>
      <protection locked="0"/>
    </xf>
    <xf numFmtId="0" fontId="3" fillId="0" borderId="14" xfId="388" applyFont="1" applyBorder="1" applyAlignment="1" applyProtection="1">
      <alignment vertical="center" textRotation="255" shrinkToFit="1"/>
      <protection locked="0"/>
    </xf>
    <xf numFmtId="0" fontId="3" fillId="0" borderId="14" xfId="388" applyFont="1" applyBorder="1" applyAlignment="1" applyProtection="1">
      <alignment horizontal="center" vertical="center" textRotation="255"/>
      <protection locked="0"/>
    </xf>
    <xf numFmtId="0" fontId="3" fillId="0" borderId="13" xfId="388" applyFont="1" applyBorder="1" applyAlignment="1" applyProtection="1">
      <alignment horizontal="center" vertical="center" textRotation="255" shrinkToFit="1"/>
      <protection locked="0"/>
    </xf>
    <xf numFmtId="0" fontId="3" fillId="0" borderId="14" xfId="388" applyFont="1" applyBorder="1" applyAlignment="1" applyProtection="1">
      <alignment horizontal="center" vertical="center" textRotation="255" shrinkToFit="1"/>
      <protection locked="0"/>
    </xf>
    <xf numFmtId="0" fontId="3" fillId="0" borderId="15" xfId="388" applyFont="1" applyBorder="1" applyAlignment="1" applyProtection="1">
      <alignment horizontal="center" vertical="center" textRotation="255" shrinkToFit="1"/>
      <protection locked="0"/>
    </xf>
    <xf numFmtId="0" fontId="3" fillId="0" borderId="38" xfId="0" applyNumberFormat="1" applyFont="1" applyBorder="1" applyAlignment="1" applyProtection="1">
      <alignment horizontal="left" vertical="center" indent="1"/>
      <protection locked="0"/>
    </xf>
    <xf numFmtId="0" fontId="3" fillId="0" borderId="30" xfId="0" applyNumberFormat="1" applyFont="1" applyBorder="1" applyAlignment="1" applyProtection="1">
      <alignment horizontal="left" vertical="center" indent="1"/>
      <protection locked="0"/>
    </xf>
    <xf numFmtId="0" fontId="3" fillId="0" borderId="13" xfId="388" applyFont="1" applyBorder="1" applyAlignment="1" applyProtection="1">
      <alignment horizontal="center" vertical="center" textRotation="255"/>
      <protection locked="0"/>
    </xf>
  </cellXfs>
  <cellStyles count="391">
    <cellStyle name="（@）" xfId="1" xr:uid="{00000000-0005-0000-0000-000000000000}"/>
    <cellStyle name="0" xfId="2" xr:uid="{00000000-0005-0000-0000-000001000000}"/>
    <cellStyle name="0.0" xfId="3" xr:uid="{00000000-0005-0000-0000-000002000000}"/>
    <cellStyle name="0.00" xfId="4" xr:uid="{00000000-0005-0000-0000-000003000000}"/>
    <cellStyle name="0.000" xfId="5" xr:uid="{00000000-0005-0000-0000-000004000000}"/>
    <cellStyle name="0.0000" xfId="6" xr:uid="{00000000-0005-0000-0000-000005000000}"/>
    <cellStyle name="0_center" xfId="7" xr:uid="{00000000-0005-0000-0000-000006000000}"/>
    <cellStyle name="0_center__主桁定数" xfId="8" xr:uid="{00000000-0005-0000-0000-000007000000}"/>
    <cellStyle name="0_center_Book1" xfId="9" xr:uid="{00000000-0005-0000-0000-000008000000}"/>
    <cellStyle name="0_center_SPACERデータ" xfId="10" xr:uid="{00000000-0005-0000-0000-000009000000}"/>
    <cellStyle name="0_center_SPACERデータ1" xfId="11" xr:uid="{00000000-0005-0000-0000-00000A000000}"/>
    <cellStyle name="0_center_ｺﾋﾟｰ ～ 横桁の断面定数" xfId="12" xr:uid="{00000000-0005-0000-0000-00000B000000}"/>
    <cellStyle name="0_center_横桁の断面定数" xfId="13" xr:uid="{00000000-0005-0000-0000-00000C000000}"/>
    <cellStyle name="0_center_横桁断面" xfId="14" xr:uid="{00000000-0005-0000-0000-00000D000000}"/>
    <cellStyle name="0_center_荷重" xfId="15" xr:uid="{00000000-0005-0000-0000-00000E000000}"/>
    <cellStyle name="0_center_絵" xfId="16" xr:uid="{00000000-0005-0000-0000-00000F000000}"/>
    <cellStyle name="0_center_橋面荷重" xfId="17" xr:uid="{00000000-0005-0000-0000-000010000000}"/>
    <cellStyle name="0_center_主桁定数" xfId="18" xr:uid="{00000000-0005-0000-0000-000011000000}"/>
    <cellStyle name="0_center_断面力データ(主桁)" xfId="19" xr:uid="{00000000-0005-0000-0000-000012000000}"/>
    <cellStyle name="0_center_中間スラブの設計" xfId="20" xr:uid="{00000000-0005-0000-0000-000013000000}"/>
    <cellStyle name="1" xfId="21" xr:uid="{00000000-0005-0000-0000-000014000000}"/>
    <cellStyle name="1/2" xfId="22" xr:uid="{00000000-0005-0000-0000-000015000000}"/>
    <cellStyle name="1/6" xfId="23" xr:uid="{00000000-0005-0000-0000-000016000000}"/>
    <cellStyle name="1_01_設計上演" xfId="24" xr:uid="{00000000-0005-0000-0000-000017000000}"/>
    <cellStyle name="1_土質条件（千葉駅改良）_最終20081214" xfId="25" xr:uid="{00000000-0005-0000-0000-000018000000}"/>
    <cellStyle name="100" xfId="26" xr:uid="{00000000-0005-0000-0000-000019000000}"/>
    <cellStyle name="20% - Accent1" xfId="27" xr:uid="{00000000-0005-0000-0000-00001A000000}"/>
    <cellStyle name="20% - Accent2" xfId="28" xr:uid="{00000000-0005-0000-0000-00001B000000}"/>
    <cellStyle name="20% - Accent3" xfId="29" xr:uid="{00000000-0005-0000-0000-00001C000000}"/>
    <cellStyle name="20% - Accent4" xfId="30" xr:uid="{00000000-0005-0000-0000-00001D000000}"/>
    <cellStyle name="20% - Accent5" xfId="31" xr:uid="{00000000-0005-0000-0000-00001E000000}"/>
    <cellStyle name="20% - Accent6" xfId="32" xr:uid="{00000000-0005-0000-0000-00001F000000}"/>
    <cellStyle name="20% - アクセント 1 2" xfId="33" xr:uid="{00000000-0005-0000-0000-000020000000}"/>
    <cellStyle name="20% - アクセント 1 3" xfId="34" xr:uid="{00000000-0005-0000-0000-000021000000}"/>
    <cellStyle name="20% - アクセント 1 4" xfId="35" xr:uid="{00000000-0005-0000-0000-000022000000}"/>
    <cellStyle name="20% - アクセント 2 2" xfId="36" xr:uid="{00000000-0005-0000-0000-000023000000}"/>
    <cellStyle name="20% - アクセント 2 3" xfId="37" xr:uid="{00000000-0005-0000-0000-000024000000}"/>
    <cellStyle name="20% - アクセント 2 4" xfId="38" xr:uid="{00000000-0005-0000-0000-000025000000}"/>
    <cellStyle name="20% - アクセント 3 2" xfId="39" xr:uid="{00000000-0005-0000-0000-000026000000}"/>
    <cellStyle name="20% - アクセント 3 3" xfId="40" xr:uid="{00000000-0005-0000-0000-000027000000}"/>
    <cellStyle name="20% - アクセント 3 4" xfId="41" xr:uid="{00000000-0005-0000-0000-000028000000}"/>
    <cellStyle name="20% - アクセント 4 2" xfId="42" xr:uid="{00000000-0005-0000-0000-000029000000}"/>
    <cellStyle name="20% - アクセント 4 3" xfId="43" xr:uid="{00000000-0005-0000-0000-00002A000000}"/>
    <cellStyle name="20% - アクセント 4 4" xfId="44" xr:uid="{00000000-0005-0000-0000-00002B000000}"/>
    <cellStyle name="20% - アクセント 5 2" xfId="45" xr:uid="{00000000-0005-0000-0000-00002C000000}"/>
    <cellStyle name="20% - アクセント 5 3" xfId="46" xr:uid="{00000000-0005-0000-0000-00002D000000}"/>
    <cellStyle name="20% - アクセント 5 4" xfId="47" xr:uid="{00000000-0005-0000-0000-00002E000000}"/>
    <cellStyle name="20% - アクセント 6 2" xfId="48" xr:uid="{00000000-0005-0000-0000-00002F000000}"/>
    <cellStyle name="20% - アクセント 6 3" xfId="49" xr:uid="{00000000-0005-0000-0000-000030000000}"/>
    <cellStyle name="20% - アクセント 6 4" xfId="50" xr:uid="{00000000-0005-0000-0000-000031000000}"/>
    <cellStyle name="40% - Accent1" xfId="51" xr:uid="{00000000-0005-0000-0000-000032000000}"/>
    <cellStyle name="40% - Accent2" xfId="52" xr:uid="{00000000-0005-0000-0000-000033000000}"/>
    <cellStyle name="40% - Accent3" xfId="53" xr:uid="{00000000-0005-0000-0000-000034000000}"/>
    <cellStyle name="40% - Accent4" xfId="54" xr:uid="{00000000-0005-0000-0000-000035000000}"/>
    <cellStyle name="40% - Accent5" xfId="55" xr:uid="{00000000-0005-0000-0000-000036000000}"/>
    <cellStyle name="40% - Accent6" xfId="56" xr:uid="{00000000-0005-0000-0000-000037000000}"/>
    <cellStyle name="40% - アクセント 1 2" xfId="57" xr:uid="{00000000-0005-0000-0000-000038000000}"/>
    <cellStyle name="40% - アクセント 1 3" xfId="58" xr:uid="{00000000-0005-0000-0000-000039000000}"/>
    <cellStyle name="40% - アクセント 1 4" xfId="59" xr:uid="{00000000-0005-0000-0000-00003A000000}"/>
    <cellStyle name="40% - アクセント 2 2" xfId="60" xr:uid="{00000000-0005-0000-0000-00003B000000}"/>
    <cellStyle name="40% - アクセント 2 3" xfId="61" xr:uid="{00000000-0005-0000-0000-00003C000000}"/>
    <cellStyle name="40% - アクセント 2 4" xfId="62" xr:uid="{00000000-0005-0000-0000-00003D000000}"/>
    <cellStyle name="40% - アクセント 3 2" xfId="63" xr:uid="{00000000-0005-0000-0000-00003E000000}"/>
    <cellStyle name="40% - アクセント 3 3" xfId="64" xr:uid="{00000000-0005-0000-0000-00003F000000}"/>
    <cellStyle name="40% - アクセント 3 4" xfId="65" xr:uid="{00000000-0005-0000-0000-000040000000}"/>
    <cellStyle name="40% - アクセント 4 2" xfId="66" xr:uid="{00000000-0005-0000-0000-000041000000}"/>
    <cellStyle name="40% - アクセント 4 3" xfId="67" xr:uid="{00000000-0005-0000-0000-000042000000}"/>
    <cellStyle name="40% - アクセント 4 4" xfId="68" xr:uid="{00000000-0005-0000-0000-000043000000}"/>
    <cellStyle name="40% - アクセント 5 2" xfId="69" xr:uid="{00000000-0005-0000-0000-000044000000}"/>
    <cellStyle name="40% - アクセント 5 3" xfId="70" xr:uid="{00000000-0005-0000-0000-000045000000}"/>
    <cellStyle name="40% - アクセント 5 4" xfId="71" xr:uid="{00000000-0005-0000-0000-000046000000}"/>
    <cellStyle name="40% - アクセント 6 2" xfId="72" xr:uid="{00000000-0005-0000-0000-000047000000}"/>
    <cellStyle name="40% - アクセント 6 3" xfId="73" xr:uid="{00000000-0005-0000-0000-000048000000}"/>
    <cellStyle name="40% - アクセント 6 4" xfId="74" xr:uid="{00000000-0005-0000-0000-000049000000}"/>
    <cellStyle name="60% - Accent1" xfId="75" xr:uid="{00000000-0005-0000-0000-00004A000000}"/>
    <cellStyle name="60% - Accent2" xfId="76" xr:uid="{00000000-0005-0000-0000-00004B000000}"/>
    <cellStyle name="60% - Accent3" xfId="77" xr:uid="{00000000-0005-0000-0000-00004C000000}"/>
    <cellStyle name="60% - Accent4" xfId="78" xr:uid="{00000000-0005-0000-0000-00004D000000}"/>
    <cellStyle name="60% - Accent5" xfId="79" xr:uid="{00000000-0005-0000-0000-00004E000000}"/>
    <cellStyle name="60% - Accent6" xfId="80" xr:uid="{00000000-0005-0000-0000-00004F000000}"/>
    <cellStyle name="60% - アクセント 1 2" xfId="81" xr:uid="{00000000-0005-0000-0000-000050000000}"/>
    <cellStyle name="60% - アクセント 1 3" xfId="82" xr:uid="{00000000-0005-0000-0000-000051000000}"/>
    <cellStyle name="60% - アクセント 1 4" xfId="83" xr:uid="{00000000-0005-0000-0000-000052000000}"/>
    <cellStyle name="60% - アクセント 2 2" xfId="84" xr:uid="{00000000-0005-0000-0000-000053000000}"/>
    <cellStyle name="60% - アクセント 2 3" xfId="85" xr:uid="{00000000-0005-0000-0000-000054000000}"/>
    <cellStyle name="60% - アクセント 2 4" xfId="86" xr:uid="{00000000-0005-0000-0000-000055000000}"/>
    <cellStyle name="60% - アクセント 3 2" xfId="87" xr:uid="{00000000-0005-0000-0000-000056000000}"/>
    <cellStyle name="60% - アクセント 3 3" xfId="88" xr:uid="{00000000-0005-0000-0000-000057000000}"/>
    <cellStyle name="60% - アクセント 3 4" xfId="89" xr:uid="{00000000-0005-0000-0000-000058000000}"/>
    <cellStyle name="60% - アクセント 4 2" xfId="90" xr:uid="{00000000-0005-0000-0000-000059000000}"/>
    <cellStyle name="60% - アクセント 4 3" xfId="91" xr:uid="{00000000-0005-0000-0000-00005A000000}"/>
    <cellStyle name="60% - アクセント 4 4" xfId="92" xr:uid="{00000000-0005-0000-0000-00005B000000}"/>
    <cellStyle name="60% - アクセント 5 2" xfId="93" xr:uid="{00000000-0005-0000-0000-00005C000000}"/>
    <cellStyle name="60% - アクセント 5 3" xfId="94" xr:uid="{00000000-0005-0000-0000-00005D000000}"/>
    <cellStyle name="60% - アクセント 5 4" xfId="95" xr:uid="{00000000-0005-0000-0000-00005E000000}"/>
    <cellStyle name="60% - アクセント 6 2" xfId="96" xr:uid="{00000000-0005-0000-0000-00005F000000}"/>
    <cellStyle name="60% - アクセント 6 3" xfId="97" xr:uid="{00000000-0005-0000-0000-000060000000}"/>
    <cellStyle name="60% - アクセント 6 4" xfId="98" xr:uid="{00000000-0005-0000-0000-000061000000}"/>
    <cellStyle name="Accent1" xfId="99" xr:uid="{00000000-0005-0000-0000-000062000000}"/>
    <cellStyle name="Accent2" xfId="100" xr:uid="{00000000-0005-0000-0000-000063000000}"/>
    <cellStyle name="Accent3" xfId="101" xr:uid="{00000000-0005-0000-0000-000064000000}"/>
    <cellStyle name="Accent4" xfId="102" xr:uid="{00000000-0005-0000-0000-000065000000}"/>
    <cellStyle name="Accent5" xfId="103" xr:uid="{00000000-0005-0000-0000-000066000000}"/>
    <cellStyle name="Accent6" xfId="104" xr:uid="{00000000-0005-0000-0000-000067000000}"/>
    <cellStyle name="Bad" xfId="105" xr:uid="{00000000-0005-0000-0000-000068000000}"/>
    <cellStyle name="Calc Currency (0)" xfId="106" xr:uid="{00000000-0005-0000-0000-000069000000}"/>
    <cellStyle name="Calculation" xfId="107" xr:uid="{00000000-0005-0000-0000-00006A000000}"/>
    <cellStyle name="Check Cell" xfId="108" xr:uid="{00000000-0005-0000-0000-00006B000000}"/>
    <cellStyle name="entry" xfId="109" xr:uid="{00000000-0005-0000-0000-00006C000000}"/>
    <cellStyle name="Explanatory Text" xfId="110" xr:uid="{00000000-0005-0000-0000-00006D000000}"/>
    <cellStyle name="Good" xfId="111" xr:uid="{00000000-0005-0000-0000-00006E000000}"/>
    <cellStyle name="Header1" xfId="112" xr:uid="{00000000-0005-0000-0000-00006F000000}"/>
    <cellStyle name="Header2" xfId="113" xr:uid="{00000000-0005-0000-0000-000070000000}"/>
    <cellStyle name="Heading 1" xfId="114" xr:uid="{00000000-0005-0000-0000-000071000000}"/>
    <cellStyle name="Heading 2" xfId="115" xr:uid="{00000000-0005-0000-0000-000072000000}"/>
    <cellStyle name="Heading 3" xfId="116" xr:uid="{00000000-0005-0000-0000-000073000000}"/>
    <cellStyle name="Heading 4" xfId="117" xr:uid="{00000000-0005-0000-0000-000074000000}"/>
    <cellStyle name="Input" xfId="118" xr:uid="{00000000-0005-0000-0000-000075000000}"/>
    <cellStyle name="ISO-001" xfId="119" xr:uid="{00000000-0005-0000-0000-000076000000}"/>
    <cellStyle name="ＪＲ書式" xfId="120" xr:uid="{00000000-0005-0000-0000-000077000000}"/>
    <cellStyle name="Linked Cell" xfId="121" xr:uid="{00000000-0005-0000-0000-000078000000}"/>
    <cellStyle name="ＭＳ明朝" xfId="122" xr:uid="{00000000-0005-0000-0000-000079000000}"/>
    <cellStyle name="Neutral" xfId="123" xr:uid="{00000000-0005-0000-0000-00007A000000}"/>
    <cellStyle name="no dec" xfId="124" xr:uid="{00000000-0005-0000-0000-00007B000000}"/>
    <cellStyle name="Normal_#18-Internet" xfId="125" xr:uid="{00000000-0005-0000-0000-00007C000000}"/>
    <cellStyle name="Note" xfId="126" xr:uid="{00000000-0005-0000-0000-00007D000000}"/>
    <cellStyle name="Output" xfId="127" xr:uid="{00000000-0005-0000-0000-00007E000000}"/>
    <cellStyle name="price" xfId="128" xr:uid="{00000000-0005-0000-0000-00007F000000}"/>
    <cellStyle name="revised" xfId="129" xr:uid="{00000000-0005-0000-0000-000080000000}"/>
    <cellStyle name="section" xfId="130" xr:uid="{00000000-0005-0000-0000-000081000000}"/>
    <cellStyle name="subhead" xfId="131" xr:uid="{00000000-0005-0000-0000-000082000000}"/>
    <cellStyle name="Title" xfId="132" xr:uid="{00000000-0005-0000-0000-000083000000}"/>
    <cellStyle name="Total" xfId="133" xr:uid="{00000000-0005-0000-0000-000084000000}"/>
    <cellStyle name="TSUIKA" xfId="134" xr:uid="{00000000-0005-0000-0000-000085000000}"/>
    <cellStyle name="User_style_断面常数計算" xfId="135" xr:uid="{00000000-0005-0000-0000-000086000000}"/>
    <cellStyle name="Warning Text" xfId="136" xr:uid="{00000000-0005-0000-0000-000087000000}"/>
    <cellStyle name="φ" xfId="137" xr:uid="{00000000-0005-0000-0000-000088000000}"/>
    <cellStyle name="φ_007_断面照査" xfId="138" xr:uid="{00000000-0005-0000-0000-000089000000}"/>
    <cellStyle name="φ_3_地震時_下部工" xfId="139" xr:uid="{00000000-0005-0000-0000-00008A000000}"/>
    <cellStyle name="φ_G_A4_Nv1" xfId="140" xr:uid="{00000000-0005-0000-0000-00008B000000}"/>
    <cellStyle name="φ_G_A4_Nv1_§10-4応力算出、10-5基本荷重L2(2411-2)（常時）" xfId="141" xr:uid="{00000000-0005-0000-0000-00008C000000}"/>
    <cellStyle name="φ_G_A4_Nv1_§10-4応力算出、10-5基本荷重L2(2411-2)（常時）_007_断面照査" xfId="142" xr:uid="{00000000-0005-0000-0000-00008D000000}"/>
    <cellStyle name="φ_G_A4_Nv1_§10-4応力算出、10-5基本荷重L2(2411-2)（常時）_3_地震時_下部工" xfId="143" xr:uid="{00000000-0005-0000-0000-00008E000000}"/>
    <cellStyle name="φ_G_A4_Nv1_§12.線路直角方向C1(2411-2)" xfId="144" xr:uid="{00000000-0005-0000-0000-00008F000000}"/>
    <cellStyle name="φ_G_A4_Nv1_§12.線路直角方向C1(2411-2)_007_断面照査" xfId="145" xr:uid="{00000000-0005-0000-0000-000090000000}"/>
    <cellStyle name="φ_G_A4_Nv1_§12.線路直角方向C1(2411-2)_3_地震時_下部工" xfId="146" xr:uid="{00000000-0005-0000-0000-000091000000}"/>
    <cellStyle name="φ_G_A4_Nv1_§7.ねじりﾓｰﾒﾝﾄの計算C1(2411-2)" xfId="147" xr:uid="{00000000-0005-0000-0000-000092000000}"/>
    <cellStyle name="φ_G_A4_Nv1_§7.ねじりﾓｰﾒﾝﾄの計算C1(2411-2)_007_断面照査" xfId="148" xr:uid="{00000000-0005-0000-0000-000093000000}"/>
    <cellStyle name="φ_G_A4_Nv1_§7.ねじりﾓｰﾒﾝﾄの計算C1(2411-2)_3_地震時_下部工" xfId="149" xr:uid="{00000000-0005-0000-0000-000094000000}"/>
    <cellStyle name="φ_G_A4_Nv1_§9.各柱軸力の計算(2411-2)" xfId="150" xr:uid="{00000000-0005-0000-0000-000095000000}"/>
    <cellStyle name="φ_G_A4_Nv1_§9.各柱軸力の計算(2411-2)_007_断面照査" xfId="151" xr:uid="{00000000-0005-0000-0000-000096000000}"/>
    <cellStyle name="φ_G_A4_Nv1_§9.各柱軸力の計算(2411-2)_3_地震時_下部工" xfId="152" xr:uid="{00000000-0005-0000-0000-000097000000}"/>
    <cellStyle name="φ_G_A4_Nv1_§9.線路方向L2(2411-2)" xfId="153" xr:uid="{00000000-0005-0000-0000-000098000000}"/>
    <cellStyle name="φ_G_A4_Nv1_§9.線路方向L2(2411-2)_007_断面照査" xfId="154" xr:uid="{00000000-0005-0000-0000-000099000000}"/>
    <cellStyle name="φ_G_A4_Nv1_§9.線路方向L2(2411-2)_3_地震時_下部工" xfId="155" xr:uid="{00000000-0005-0000-0000-00009A000000}"/>
    <cellStyle name="φ_G_A4_Nv1_007_断面照査" xfId="156" xr:uid="{00000000-0005-0000-0000-00009B000000}"/>
    <cellStyle name="φ_G_A4_Nv1_3_地震時_下部工" xfId="157" xr:uid="{00000000-0005-0000-0000-00009C000000}"/>
    <cellStyle name="φ_G_A4_Nv1_限界状態照査" xfId="158" xr:uid="{00000000-0005-0000-0000-00009D000000}"/>
    <cellStyle name="φ_G_A4_Nv1_限界状態照査_007_断面照査" xfId="159" xr:uid="{00000000-0005-0000-0000-00009E000000}"/>
    <cellStyle name="φ_G_A4_Nv1_限界状態照査_3_地震時_下部工" xfId="160" xr:uid="{00000000-0005-0000-0000-00009F000000}"/>
    <cellStyle name="φ_荷重" xfId="161" xr:uid="{00000000-0005-0000-0000-0000A0000000}"/>
    <cellStyle name="φ_荷重_§10-4応力算出、10-5基本荷重L2(2411-2)（常時）" xfId="162" xr:uid="{00000000-0005-0000-0000-0000A1000000}"/>
    <cellStyle name="φ_荷重_§10-4応力算出、10-5基本荷重L2(2411-2)（常時）_007_断面照査" xfId="163" xr:uid="{00000000-0005-0000-0000-0000A2000000}"/>
    <cellStyle name="φ_荷重_§10-4応力算出、10-5基本荷重L2(2411-2)（常時）_3_地震時_下部工" xfId="164" xr:uid="{00000000-0005-0000-0000-0000A3000000}"/>
    <cellStyle name="φ_荷重_§12.線路直角方向C1(2411-2)" xfId="165" xr:uid="{00000000-0005-0000-0000-0000A4000000}"/>
    <cellStyle name="φ_荷重_§12.線路直角方向C1(2411-2)_007_断面照査" xfId="166" xr:uid="{00000000-0005-0000-0000-0000A5000000}"/>
    <cellStyle name="φ_荷重_§12.線路直角方向C1(2411-2)_3_地震時_下部工" xfId="167" xr:uid="{00000000-0005-0000-0000-0000A6000000}"/>
    <cellStyle name="φ_荷重_§7.ねじりﾓｰﾒﾝﾄの計算C1(2411-2)" xfId="168" xr:uid="{00000000-0005-0000-0000-0000A7000000}"/>
    <cellStyle name="φ_荷重_§7.ねじりﾓｰﾒﾝﾄの計算C1(2411-2)_007_断面照査" xfId="169" xr:uid="{00000000-0005-0000-0000-0000A8000000}"/>
    <cellStyle name="φ_荷重_§7.ねじりﾓｰﾒﾝﾄの計算C1(2411-2)_3_地震時_下部工" xfId="170" xr:uid="{00000000-0005-0000-0000-0000A9000000}"/>
    <cellStyle name="φ_荷重_§9.各柱軸力の計算(2411-2)" xfId="171" xr:uid="{00000000-0005-0000-0000-0000AA000000}"/>
    <cellStyle name="φ_荷重_§9.各柱軸力の計算(2411-2)_007_断面照査" xfId="172" xr:uid="{00000000-0005-0000-0000-0000AB000000}"/>
    <cellStyle name="φ_荷重_§9.各柱軸力の計算(2411-2)_3_地震時_下部工" xfId="173" xr:uid="{00000000-0005-0000-0000-0000AC000000}"/>
    <cellStyle name="φ_荷重_§9.線路方向L2(2411-2)" xfId="174" xr:uid="{00000000-0005-0000-0000-0000AD000000}"/>
    <cellStyle name="φ_荷重_§9.線路方向L2(2411-2)_007_断面照査" xfId="175" xr:uid="{00000000-0005-0000-0000-0000AE000000}"/>
    <cellStyle name="φ_荷重_§9.線路方向L2(2411-2)_3_地震時_下部工" xfId="176" xr:uid="{00000000-0005-0000-0000-0000AF000000}"/>
    <cellStyle name="φ_荷重_007_断面照査" xfId="177" xr:uid="{00000000-0005-0000-0000-0000B0000000}"/>
    <cellStyle name="φ_荷重_3_地震時_下部工" xfId="178" xr:uid="{00000000-0005-0000-0000-0000B1000000}"/>
    <cellStyle name="φ_荷重_限界状態照査" xfId="179" xr:uid="{00000000-0005-0000-0000-0000B2000000}"/>
    <cellStyle name="φ_荷重_限界状態照査_007_断面照査" xfId="180" xr:uid="{00000000-0005-0000-0000-0000B3000000}"/>
    <cellStyle name="φ_荷重_限界状態照査_3_地震時_下部工" xfId="181" xr:uid="{00000000-0005-0000-0000-0000B4000000}"/>
    <cellStyle name="φ_断面緒元" xfId="182" xr:uid="{00000000-0005-0000-0000-0000B5000000}"/>
    <cellStyle name="φ_断面緒元_§10-4応力算出、10-5基本荷重L2(2411-2)（常時）" xfId="183" xr:uid="{00000000-0005-0000-0000-0000B6000000}"/>
    <cellStyle name="φ_断面緒元_§10-4応力算出、10-5基本荷重L2(2411-2)（常時）_007_断面照査" xfId="184" xr:uid="{00000000-0005-0000-0000-0000B7000000}"/>
    <cellStyle name="φ_断面緒元_§10-4応力算出、10-5基本荷重L2(2411-2)（常時）_3_地震時_下部工" xfId="185" xr:uid="{00000000-0005-0000-0000-0000B8000000}"/>
    <cellStyle name="φ_断面緒元_§12.線路直角方向C1(2411-2)" xfId="186" xr:uid="{00000000-0005-0000-0000-0000B9000000}"/>
    <cellStyle name="φ_断面緒元_§12.線路直角方向C1(2411-2)_007_断面照査" xfId="187" xr:uid="{00000000-0005-0000-0000-0000BA000000}"/>
    <cellStyle name="φ_断面緒元_§12.線路直角方向C1(2411-2)_3_地震時_下部工" xfId="188" xr:uid="{00000000-0005-0000-0000-0000BB000000}"/>
    <cellStyle name="φ_断面緒元_§7.ねじりﾓｰﾒﾝﾄの計算C1(2411-2)" xfId="189" xr:uid="{00000000-0005-0000-0000-0000BC000000}"/>
    <cellStyle name="φ_断面緒元_§7.ねじりﾓｰﾒﾝﾄの計算C1(2411-2)_007_断面照査" xfId="190" xr:uid="{00000000-0005-0000-0000-0000BD000000}"/>
    <cellStyle name="φ_断面緒元_§7.ねじりﾓｰﾒﾝﾄの計算C1(2411-2)_3_地震時_下部工" xfId="191" xr:uid="{00000000-0005-0000-0000-0000BE000000}"/>
    <cellStyle name="φ_断面緒元_§9.各柱軸力の計算(2411-2)" xfId="192" xr:uid="{00000000-0005-0000-0000-0000BF000000}"/>
    <cellStyle name="φ_断面緒元_§9.各柱軸力の計算(2411-2)_007_断面照査" xfId="193" xr:uid="{00000000-0005-0000-0000-0000C0000000}"/>
    <cellStyle name="φ_断面緒元_§9.各柱軸力の計算(2411-2)_3_地震時_下部工" xfId="194" xr:uid="{00000000-0005-0000-0000-0000C1000000}"/>
    <cellStyle name="φ_断面緒元_§9.線路方向L2(2411-2)" xfId="195" xr:uid="{00000000-0005-0000-0000-0000C2000000}"/>
    <cellStyle name="φ_断面緒元_§9.線路方向L2(2411-2)_007_断面照査" xfId="196" xr:uid="{00000000-0005-0000-0000-0000C3000000}"/>
    <cellStyle name="φ_断面緒元_§9.線路方向L2(2411-2)_3_地震時_下部工" xfId="197" xr:uid="{00000000-0005-0000-0000-0000C4000000}"/>
    <cellStyle name="φ_断面緒元_007_断面照査" xfId="198" xr:uid="{00000000-0005-0000-0000-0000C5000000}"/>
    <cellStyle name="φ_断面緒元_3_地震時_下部工" xfId="199" xr:uid="{00000000-0005-0000-0000-0000C6000000}"/>
    <cellStyle name="φ_断面緒元_限界状態照査" xfId="200" xr:uid="{00000000-0005-0000-0000-0000C7000000}"/>
    <cellStyle name="φ_断面緒元_限界状態照査_007_断面照査" xfId="201" xr:uid="{00000000-0005-0000-0000-0000C8000000}"/>
    <cellStyle name="φ_断面緒元_限界状態照査_3_地震時_下部工" xfId="202" xr:uid="{00000000-0005-0000-0000-0000C9000000}"/>
    <cellStyle name="φ_断面常数計算" xfId="203" xr:uid="{00000000-0005-0000-0000-0000CA000000}"/>
    <cellStyle name="φ_断面常数計算_§10-4応力算出、10-5基本荷重L2(2411-2)（常時）" xfId="204" xr:uid="{00000000-0005-0000-0000-0000CB000000}"/>
    <cellStyle name="φ_断面常数計算_§10-4応力算出、10-5基本荷重L2(2411-2)（常時）_007_断面照査" xfId="205" xr:uid="{00000000-0005-0000-0000-0000CC000000}"/>
    <cellStyle name="φ_断面常数計算_§10-4応力算出、10-5基本荷重L2(2411-2)（常時）_3_地震時_下部工" xfId="206" xr:uid="{00000000-0005-0000-0000-0000CD000000}"/>
    <cellStyle name="φ_断面常数計算_§12.線路直角方向C1(2411-2)" xfId="207" xr:uid="{00000000-0005-0000-0000-0000CE000000}"/>
    <cellStyle name="φ_断面常数計算_§12.線路直角方向C1(2411-2)_007_断面照査" xfId="208" xr:uid="{00000000-0005-0000-0000-0000CF000000}"/>
    <cellStyle name="φ_断面常数計算_§12.線路直角方向C1(2411-2)_3_地震時_下部工" xfId="209" xr:uid="{00000000-0005-0000-0000-0000D0000000}"/>
    <cellStyle name="φ_断面常数計算_§7.ねじりﾓｰﾒﾝﾄの計算C1(2411-2)" xfId="210" xr:uid="{00000000-0005-0000-0000-0000D1000000}"/>
    <cellStyle name="φ_断面常数計算_§7.ねじりﾓｰﾒﾝﾄの計算C1(2411-2)_007_断面照査" xfId="211" xr:uid="{00000000-0005-0000-0000-0000D2000000}"/>
    <cellStyle name="φ_断面常数計算_§7.ねじりﾓｰﾒﾝﾄの計算C1(2411-2)_3_地震時_下部工" xfId="212" xr:uid="{00000000-0005-0000-0000-0000D3000000}"/>
    <cellStyle name="φ_断面常数計算_§9.各柱軸力の計算(2411-2)" xfId="213" xr:uid="{00000000-0005-0000-0000-0000D4000000}"/>
    <cellStyle name="φ_断面常数計算_§9.各柱軸力の計算(2411-2)_007_断面照査" xfId="214" xr:uid="{00000000-0005-0000-0000-0000D5000000}"/>
    <cellStyle name="φ_断面常数計算_§9.各柱軸力の計算(2411-2)_3_地震時_下部工" xfId="215" xr:uid="{00000000-0005-0000-0000-0000D6000000}"/>
    <cellStyle name="φ_断面常数計算_§9.線路方向L2(2411-2)" xfId="216" xr:uid="{00000000-0005-0000-0000-0000D7000000}"/>
    <cellStyle name="φ_断面常数計算_§9.線路方向L2(2411-2)_007_断面照査" xfId="217" xr:uid="{00000000-0005-0000-0000-0000D8000000}"/>
    <cellStyle name="φ_断面常数計算_§9.線路方向L2(2411-2)_3_地震時_下部工" xfId="218" xr:uid="{00000000-0005-0000-0000-0000D9000000}"/>
    <cellStyle name="φ_断面常数計算_007_断面照査" xfId="219" xr:uid="{00000000-0005-0000-0000-0000DA000000}"/>
    <cellStyle name="φ_断面常数計算_3_地震時_下部工" xfId="220" xr:uid="{00000000-0005-0000-0000-0000DB000000}"/>
    <cellStyle name="φ_断面常数計算_限界状態照査" xfId="221" xr:uid="{00000000-0005-0000-0000-0000DC000000}"/>
    <cellStyle name="φ_断面常数計算_限界状態照査_007_断面照査" xfId="222" xr:uid="{00000000-0005-0000-0000-0000DD000000}"/>
    <cellStyle name="φ_断面常数計算_限界状態照査_3_地震時_下部工" xfId="223" xr:uid="{00000000-0005-0000-0000-0000DE000000}"/>
    <cellStyle name="φ_断面定数計算1" xfId="224" xr:uid="{00000000-0005-0000-0000-0000DF000000}"/>
    <cellStyle name="φ_断面定数計算1_§10-4応力算出、10-5基本荷重L2(2411-2)（常時）" xfId="225" xr:uid="{00000000-0005-0000-0000-0000E0000000}"/>
    <cellStyle name="φ_断面定数計算1_§10-4応力算出、10-5基本荷重L2(2411-2)（常時）_007_断面照査" xfId="226" xr:uid="{00000000-0005-0000-0000-0000E1000000}"/>
    <cellStyle name="φ_断面定数計算1_§10-4応力算出、10-5基本荷重L2(2411-2)（常時）_3_地震時_下部工" xfId="227" xr:uid="{00000000-0005-0000-0000-0000E2000000}"/>
    <cellStyle name="φ_断面定数計算1_§12.線路直角方向C1(2411-2)" xfId="228" xr:uid="{00000000-0005-0000-0000-0000E3000000}"/>
    <cellStyle name="φ_断面定数計算1_§12.線路直角方向C1(2411-2)_007_断面照査" xfId="229" xr:uid="{00000000-0005-0000-0000-0000E4000000}"/>
    <cellStyle name="φ_断面定数計算1_§12.線路直角方向C1(2411-2)_3_地震時_下部工" xfId="230" xr:uid="{00000000-0005-0000-0000-0000E5000000}"/>
    <cellStyle name="φ_断面定数計算1_§7.ねじりﾓｰﾒﾝﾄの計算C1(2411-2)" xfId="231" xr:uid="{00000000-0005-0000-0000-0000E6000000}"/>
    <cellStyle name="φ_断面定数計算1_§7.ねじりﾓｰﾒﾝﾄの計算C1(2411-2)_007_断面照査" xfId="232" xr:uid="{00000000-0005-0000-0000-0000E7000000}"/>
    <cellStyle name="φ_断面定数計算1_§7.ねじりﾓｰﾒﾝﾄの計算C1(2411-2)_3_地震時_下部工" xfId="233" xr:uid="{00000000-0005-0000-0000-0000E8000000}"/>
    <cellStyle name="φ_断面定数計算1_§9.各柱軸力の計算(2411-2)" xfId="234" xr:uid="{00000000-0005-0000-0000-0000E9000000}"/>
    <cellStyle name="φ_断面定数計算1_§9.各柱軸力の計算(2411-2)_007_断面照査" xfId="235" xr:uid="{00000000-0005-0000-0000-0000EA000000}"/>
    <cellStyle name="φ_断面定数計算1_§9.各柱軸力の計算(2411-2)_3_地震時_下部工" xfId="236" xr:uid="{00000000-0005-0000-0000-0000EB000000}"/>
    <cellStyle name="φ_断面定数計算1_§9.線路方向L2(2411-2)" xfId="237" xr:uid="{00000000-0005-0000-0000-0000EC000000}"/>
    <cellStyle name="φ_断面定数計算1_§9.線路方向L2(2411-2)_007_断面照査" xfId="238" xr:uid="{00000000-0005-0000-0000-0000ED000000}"/>
    <cellStyle name="φ_断面定数計算1_§9.線路方向L2(2411-2)_3_地震時_下部工" xfId="239" xr:uid="{00000000-0005-0000-0000-0000EE000000}"/>
    <cellStyle name="φ_断面定数計算1_007_断面照査" xfId="240" xr:uid="{00000000-0005-0000-0000-0000EF000000}"/>
    <cellStyle name="φ_断面定数計算1_3_地震時_下部工" xfId="241" xr:uid="{00000000-0005-0000-0000-0000F0000000}"/>
    <cellStyle name="φ_断面定数計算1_限界状態照査" xfId="242" xr:uid="{00000000-0005-0000-0000-0000F1000000}"/>
    <cellStyle name="φ_断面定数計算1_限界状態照査_007_断面照査" xfId="243" xr:uid="{00000000-0005-0000-0000-0000F2000000}"/>
    <cellStyle name="φ_断面定数計算1_限界状態照査_3_地震時_下部工" xfId="244" xr:uid="{00000000-0005-0000-0000-0000F3000000}"/>
    <cellStyle name="アクセント 1 2" xfId="245" xr:uid="{00000000-0005-0000-0000-0000F4000000}"/>
    <cellStyle name="アクセント 1 3" xfId="246" xr:uid="{00000000-0005-0000-0000-0000F5000000}"/>
    <cellStyle name="アクセント 1 4" xfId="247" xr:uid="{00000000-0005-0000-0000-0000F6000000}"/>
    <cellStyle name="アクセント 2 2" xfId="248" xr:uid="{00000000-0005-0000-0000-0000F7000000}"/>
    <cellStyle name="アクセント 2 3" xfId="249" xr:uid="{00000000-0005-0000-0000-0000F8000000}"/>
    <cellStyle name="アクセント 2 4" xfId="250" xr:uid="{00000000-0005-0000-0000-0000F9000000}"/>
    <cellStyle name="アクセント 3 2" xfId="251" xr:uid="{00000000-0005-0000-0000-0000FA000000}"/>
    <cellStyle name="アクセント 3 3" xfId="252" xr:uid="{00000000-0005-0000-0000-0000FB000000}"/>
    <cellStyle name="アクセント 3 4" xfId="253" xr:uid="{00000000-0005-0000-0000-0000FC000000}"/>
    <cellStyle name="アクセント 4 2" xfId="254" xr:uid="{00000000-0005-0000-0000-0000FD000000}"/>
    <cellStyle name="アクセント 4 3" xfId="255" xr:uid="{00000000-0005-0000-0000-0000FE000000}"/>
    <cellStyle name="アクセント 4 4" xfId="256" xr:uid="{00000000-0005-0000-0000-0000FF000000}"/>
    <cellStyle name="アクセント 5 2" xfId="257" xr:uid="{00000000-0005-0000-0000-000000010000}"/>
    <cellStyle name="アクセント 5 3" xfId="258" xr:uid="{00000000-0005-0000-0000-000001010000}"/>
    <cellStyle name="アクセント 5 4" xfId="259" xr:uid="{00000000-0005-0000-0000-000002010000}"/>
    <cellStyle name="アクセント 6 2" xfId="260" xr:uid="{00000000-0005-0000-0000-000003010000}"/>
    <cellStyle name="アクセント 6 3" xfId="261" xr:uid="{00000000-0005-0000-0000-000004010000}"/>
    <cellStyle name="アクセント 6 4" xfId="262" xr:uid="{00000000-0005-0000-0000-000005010000}"/>
    <cellStyle name="タイトル 2" xfId="263" xr:uid="{00000000-0005-0000-0000-000006010000}"/>
    <cellStyle name="タイトル 3" xfId="264" xr:uid="{00000000-0005-0000-0000-000007010000}"/>
    <cellStyle name="タイトル 4" xfId="265" xr:uid="{00000000-0005-0000-0000-000008010000}"/>
    <cellStyle name="チェック セル 2" xfId="266" xr:uid="{00000000-0005-0000-0000-000009010000}"/>
    <cellStyle name="チェック セル 3" xfId="267" xr:uid="{00000000-0005-0000-0000-00000A010000}"/>
    <cellStyle name="チェック セル 4" xfId="268" xr:uid="{00000000-0005-0000-0000-00000B010000}"/>
    <cellStyle name="どちらでもない 2" xfId="269" xr:uid="{00000000-0005-0000-0000-00000C010000}"/>
    <cellStyle name="どちらでもない 3" xfId="270" xr:uid="{00000000-0005-0000-0000-00000D010000}"/>
    <cellStyle name="どちらでもない 4" xfId="271" xr:uid="{00000000-0005-0000-0000-00000E010000}"/>
    <cellStyle name="ハイパーリンク" xfId="272" builtinId="8"/>
    <cellStyle name="メモ 2" xfId="273" xr:uid="{00000000-0005-0000-0000-000010010000}"/>
    <cellStyle name="メモ 3" xfId="274" xr:uid="{00000000-0005-0000-0000-000011010000}"/>
    <cellStyle name="メモ 4" xfId="275" xr:uid="{00000000-0005-0000-0000-000012010000}"/>
    <cellStyle name="リンク セル 2" xfId="276" xr:uid="{00000000-0005-0000-0000-000013010000}"/>
    <cellStyle name="リンク セル 3" xfId="277" xr:uid="{00000000-0005-0000-0000-000014010000}"/>
    <cellStyle name="リンク セル 4" xfId="278" xr:uid="{00000000-0005-0000-0000-000015010000}"/>
    <cellStyle name="悪い 2" xfId="279" xr:uid="{00000000-0005-0000-0000-000016010000}"/>
    <cellStyle name="悪い 3" xfId="280" xr:uid="{00000000-0005-0000-0000-000017010000}"/>
    <cellStyle name="悪い 4" xfId="281" xr:uid="{00000000-0005-0000-0000-000018010000}"/>
    <cellStyle name="下付" xfId="282" xr:uid="{00000000-0005-0000-0000-000019010000}"/>
    <cellStyle name="企画-01" xfId="283" xr:uid="{00000000-0005-0000-0000-00001A010000}"/>
    <cellStyle name="径" xfId="284" xr:uid="{00000000-0005-0000-0000-00001B010000}"/>
    <cellStyle name="径_§10-4応力算出、10-5基本荷重L2(2411-2)（常時）" xfId="285" xr:uid="{00000000-0005-0000-0000-00001C010000}"/>
    <cellStyle name="径_§10-4応力算出、10-5基本荷重L2(2411-2)（常時）_007_断面照査" xfId="286" xr:uid="{00000000-0005-0000-0000-00001D010000}"/>
    <cellStyle name="径_§10-4応力算出、10-5基本荷重L2(2411-2)（常時）_3_地震時_下部工" xfId="287" xr:uid="{00000000-0005-0000-0000-00001E010000}"/>
    <cellStyle name="径_§12.線路直角方向C1(2411-2)" xfId="288" xr:uid="{00000000-0005-0000-0000-00001F010000}"/>
    <cellStyle name="径_§12.線路直角方向C1(2411-2)_007_断面照査" xfId="289" xr:uid="{00000000-0005-0000-0000-000020010000}"/>
    <cellStyle name="径_§12.線路直角方向C1(2411-2)_3_地震時_下部工" xfId="290" xr:uid="{00000000-0005-0000-0000-000021010000}"/>
    <cellStyle name="径_§7.ねじりﾓｰﾒﾝﾄの計算C1(2411-2)" xfId="291" xr:uid="{00000000-0005-0000-0000-000022010000}"/>
    <cellStyle name="径_§7.ねじりﾓｰﾒﾝﾄの計算C1(2411-2)_007_断面照査" xfId="292" xr:uid="{00000000-0005-0000-0000-000023010000}"/>
    <cellStyle name="径_§7.ねじりﾓｰﾒﾝﾄの計算C1(2411-2)_3_地震時_下部工" xfId="293" xr:uid="{00000000-0005-0000-0000-000024010000}"/>
    <cellStyle name="径_§9.各柱軸力の計算(2411-2)" xfId="294" xr:uid="{00000000-0005-0000-0000-000025010000}"/>
    <cellStyle name="径_§9.各柱軸力の計算(2411-2)_007_断面照査" xfId="295" xr:uid="{00000000-0005-0000-0000-000026010000}"/>
    <cellStyle name="径_§9.各柱軸力の計算(2411-2)_3_地震時_下部工" xfId="296" xr:uid="{00000000-0005-0000-0000-000027010000}"/>
    <cellStyle name="径_§9.線路方向L2(2411-2)" xfId="297" xr:uid="{00000000-0005-0000-0000-000028010000}"/>
    <cellStyle name="径_§9.線路方向L2(2411-2)_007_断面照査" xfId="298" xr:uid="{00000000-0005-0000-0000-000029010000}"/>
    <cellStyle name="径_§9.線路方向L2(2411-2)_3_地震時_下部工" xfId="299" xr:uid="{00000000-0005-0000-0000-00002A010000}"/>
    <cellStyle name="径_007_断面照査" xfId="300" xr:uid="{00000000-0005-0000-0000-00002B010000}"/>
    <cellStyle name="径_3_地震時_下部工" xfId="301" xr:uid="{00000000-0005-0000-0000-00002C010000}"/>
    <cellStyle name="径_計算書" xfId="302" xr:uid="{00000000-0005-0000-0000-00002D010000}"/>
    <cellStyle name="径_計算書_§10-4応力算出、10-5基本荷重L2(2411-2)（常時）" xfId="303" xr:uid="{00000000-0005-0000-0000-00002E010000}"/>
    <cellStyle name="径_計算書_§10-4応力算出、10-5基本荷重L2(2411-2)（常時）_007_断面照査" xfId="304" xr:uid="{00000000-0005-0000-0000-00002F010000}"/>
    <cellStyle name="径_計算書_§10-4応力算出、10-5基本荷重L2(2411-2)（常時）_3_地震時_下部工" xfId="305" xr:uid="{00000000-0005-0000-0000-000030010000}"/>
    <cellStyle name="径_計算書_§12.線路直角方向C1(2411-2)" xfId="306" xr:uid="{00000000-0005-0000-0000-000031010000}"/>
    <cellStyle name="径_計算書_§12.線路直角方向C1(2411-2)_007_断面照査" xfId="307" xr:uid="{00000000-0005-0000-0000-000032010000}"/>
    <cellStyle name="径_計算書_§12.線路直角方向C1(2411-2)_3_地震時_下部工" xfId="308" xr:uid="{00000000-0005-0000-0000-000033010000}"/>
    <cellStyle name="径_計算書_§7.ねじりﾓｰﾒﾝﾄの計算C1(2411-2)" xfId="309" xr:uid="{00000000-0005-0000-0000-000034010000}"/>
    <cellStyle name="径_計算書_§7.ねじりﾓｰﾒﾝﾄの計算C1(2411-2)_007_断面照査" xfId="310" xr:uid="{00000000-0005-0000-0000-000035010000}"/>
    <cellStyle name="径_計算書_§7.ねじりﾓｰﾒﾝﾄの計算C1(2411-2)_3_地震時_下部工" xfId="311" xr:uid="{00000000-0005-0000-0000-000036010000}"/>
    <cellStyle name="径_計算書_§9.各柱軸力の計算(2411-2)" xfId="312" xr:uid="{00000000-0005-0000-0000-000037010000}"/>
    <cellStyle name="径_計算書_§9.各柱軸力の計算(2411-2)_007_断面照査" xfId="313" xr:uid="{00000000-0005-0000-0000-000038010000}"/>
    <cellStyle name="径_計算書_§9.各柱軸力の計算(2411-2)_3_地震時_下部工" xfId="314" xr:uid="{00000000-0005-0000-0000-000039010000}"/>
    <cellStyle name="径_計算書_§9.線路方向L2(2411-2)" xfId="315" xr:uid="{00000000-0005-0000-0000-00003A010000}"/>
    <cellStyle name="径_計算書_§9.線路方向L2(2411-2)_007_断面照査" xfId="316" xr:uid="{00000000-0005-0000-0000-00003B010000}"/>
    <cellStyle name="径_計算書_§9.線路方向L2(2411-2)_3_地震時_下部工" xfId="317" xr:uid="{00000000-0005-0000-0000-00003C010000}"/>
    <cellStyle name="径_計算書_007_断面照査" xfId="318" xr:uid="{00000000-0005-0000-0000-00003D010000}"/>
    <cellStyle name="径_計算書_3_地震時_下部工" xfId="319" xr:uid="{00000000-0005-0000-0000-00003E010000}"/>
    <cellStyle name="径_計算書_限界状態照査" xfId="320" xr:uid="{00000000-0005-0000-0000-00003F010000}"/>
    <cellStyle name="径_計算書_限界状態照査_007_断面照査" xfId="321" xr:uid="{00000000-0005-0000-0000-000040010000}"/>
    <cellStyle name="径_計算書_限界状態照査_3_地震時_下部工" xfId="322" xr:uid="{00000000-0005-0000-0000-000041010000}"/>
    <cellStyle name="径_限界状態照査" xfId="323" xr:uid="{00000000-0005-0000-0000-000042010000}"/>
    <cellStyle name="径_限界状態照査_007_断面照査" xfId="324" xr:uid="{00000000-0005-0000-0000-000043010000}"/>
    <cellStyle name="径_限界状態照査_3_地震時_下部工" xfId="325" xr:uid="{00000000-0005-0000-0000-000044010000}"/>
    <cellStyle name="計算 2" xfId="326" xr:uid="{00000000-0005-0000-0000-000045010000}"/>
    <cellStyle name="計算 3" xfId="327" xr:uid="{00000000-0005-0000-0000-000046010000}"/>
    <cellStyle name="計算 4" xfId="328" xr:uid="{00000000-0005-0000-0000-000047010000}"/>
    <cellStyle name="警告文 2" xfId="329" xr:uid="{00000000-0005-0000-0000-000048010000}"/>
    <cellStyle name="警告文 3" xfId="330" xr:uid="{00000000-0005-0000-0000-000049010000}"/>
    <cellStyle name="警告文 4" xfId="331" xr:uid="{00000000-0005-0000-0000-00004A010000}"/>
    <cellStyle name="桁区切り [0.000]" xfId="332" xr:uid="{00000000-0005-0000-0000-00004B010000}"/>
    <cellStyle name="桁区切り 2" xfId="333" xr:uid="{00000000-0005-0000-0000-00004C010000}"/>
    <cellStyle name="見出し 1 2" xfId="334" xr:uid="{00000000-0005-0000-0000-00004D010000}"/>
    <cellStyle name="見出し 1 3" xfId="335" xr:uid="{00000000-0005-0000-0000-00004E010000}"/>
    <cellStyle name="見出し 1 4" xfId="336" xr:uid="{00000000-0005-0000-0000-00004F010000}"/>
    <cellStyle name="見出し 2 2" xfId="337" xr:uid="{00000000-0005-0000-0000-000050010000}"/>
    <cellStyle name="見出し 2 3" xfId="338" xr:uid="{00000000-0005-0000-0000-000051010000}"/>
    <cellStyle name="見出し 2 4" xfId="339" xr:uid="{00000000-0005-0000-0000-000052010000}"/>
    <cellStyle name="見出し 3 2" xfId="340" xr:uid="{00000000-0005-0000-0000-000053010000}"/>
    <cellStyle name="見出し 3 3" xfId="341" xr:uid="{00000000-0005-0000-0000-000054010000}"/>
    <cellStyle name="見出し 3 4" xfId="342" xr:uid="{00000000-0005-0000-0000-000055010000}"/>
    <cellStyle name="見出し 4 2" xfId="343" xr:uid="{00000000-0005-0000-0000-000056010000}"/>
    <cellStyle name="見出し 4 3" xfId="344" xr:uid="{00000000-0005-0000-0000-000057010000}"/>
    <cellStyle name="見出し 4 4" xfId="345" xr:uid="{00000000-0005-0000-0000-000058010000}"/>
    <cellStyle name="佐々木用" xfId="346" xr:uid="{00000000-0005-0000-0000-000059010000}"/>
    <cellStyle name="左詰（ｲﾝﾃﾞﾝﾄ1）" xfId="347" xr:uid="{00000000-0005-0000-0000-00005A010000}"/>
    <cellStyle name="指数" xfId="348" xr:uid="{00000000-0005-0000-0000-00005B010000}"/>
    <cellStyle name="集計 2" xfId="349" xr:uid="{00000000-0005-0000-0000-00005C010000}"/>
    <cellStyle name="集計 3" xfId="350" xr:uid="{00000000-0005-0000-0000-00005D010000}"/>
    <cellStyle name="集計 4" xfId="351" xr:uid="{00000000-0005-0000-0000-00005E010000}"/>
    <cellStyle name="縦書き中央" xfId="352" xr:uid="{00000000-0005-0000-0000-00005F010000}"/>
    <cellStyle name="縦中央" xfId="353" xr:uid="{00000000-0005-0000-0000-000060010000}"/>
    <cellStyle name="縮小" xfId="354" xr:uid="{00000000-0005-0000-0000-000061010000}"/>
    <cellStyle name="出力 2" xfId="355" xr:uid="{00000000-0005-0000-0000-000062010000}"/>
    <cellStyle name="出力 3" xfId="356" xr:uid="{00000000-0005-0000-0000-000063010000}"/>
    <cellStyle name="出力 4" xfId="357" xr:uid="{00000000-0005-0000-0000-000064010000}"/>
    <cellStyle name="上付" xfId="358" xr:uid="{00000000-0005-0000-0000-000065010000}"/>
    <cellStyle name="設計計算" xfId="359" xr:uid="{00000000-0005-0000-0000-000066010000}"/>
    <cellStyle name="説明文 2" xfId="360" xr:uid="{00000000-0005-0000-0000-000067010000}"/>
    <cellStyle name="説明文 3" xfId="361" xr:uid="{00000000-0005-0000-0000-000068010000}"/>
    <cellStyle name="説明文 4" xfId="362" xr:uid="{00000000-0005-0000-0000-000069010000}"/>
    <cellStyle name="通貨 [0.000]" xfId="363" xr:uid="{00000000-0005-0000-0000-00006A010000}"/>
    <cellStyle name="鉄筋径" xfId="364" xr:uid="{00000000-0005-0000-0000-00006B010000}"/>
    <cellStyle name="入力 2" xfId="365" xr:uid="{00000000-0005-0000-0000-00006C010000}"/>
    <cellStyle name="入力 3" xfId="366" xr:uid="{00000000-0005-0000-0000-00006D010000}"/>
    <cellStyle name="入力 4" xfId="367" xr:uid="{00000000-0005-0000-0000-00006E010000}"/>
    <cellStyle name="範囲内縦横中央" xfId="368" xr:uid="{00000000-0005-0000-0000-00006F010000}"/>
    <cellStyle name="範囲内中央" xfId="369" xr:uid="{00000000-0005-0000-0000-000070010000}"/>
    <cellStyle name="標準" xfId="0" builtinId="0"/>
    <cellStyle name="標準 2" xfId="370" xr:uid="{00000000-0005-0000-0000-000072010000}"/>
    <cellStyle name="標準 2 2" xfId="371" xr:uid="{00000000-0005-0000-0000-000073010000}"/>
    <cellStyle name="標準 2_§6.地震時" xfId="372" xr:uid="{00000000-0005-0000-0000-000074010000}"/>
    <cellStyle name="標準 3" xfId="373" xr:uid="{00000000-0005-0000-0000-000075010000}"/>
    <cellStyle name="標準 3 2" xfId="374" xr:uid="{00000000-0005-0000-0000-000076010000}"/>
    <cellStyle name="標準 4" xfId="375" xr:uid="{00000000-0005-0000-0000-000077010000}"/>
    <cellStyle name="標準 5" xfId="376" xr:uid="{00000000-0005-0000-0000-000078010000}"/>
    <cellStyle name="標準 7" xfId="390" xr:uid="{00000000-0005-0000-0000-000079010000}"/>
    <cellStyle name="標準_§08.線路方向L1の計算（耐震以外）" xfId="387" xr:uid="{00000000-0005-0000-0000-00007A010000}"/>
    <cellStyle name="標準_600_断面性照査" xfId="377" xr:uid="{00000000-0005-0000-0000-00007B010000}"/>
    <cellStyle name="標準_Ｒ９横小ばり" xfId="389" xr:uid="{00000000-0005-0000-0000-00007C010000}"/>
    <cellStyle name="標準_照査L1" xfId="386" xr:uid="{00000000-0005-0000-0000-00007D010000}"/>
    <cellStyle name="標準_電柱受け梁_ねじり" xfId="388" xr:uid="{00000000-0005-0000-0000-00007E010000}"/>
    <cellStyle name="標準1" xfId="378" xr:uid="{00000000-0005-0000-0000-00007F010000}"/>
    <cellStyle name="標準１" xfId="379" xr:uid="{00000000-0005-0000-0000-000080010000}"/>
    <cellStyle name="標準A4計算書" xfId="380" xr:uid="{00000000-0005-0000-0000-000081010000}"/>
    <cellStyle name="分数" xfId="381" xr:uid="{00000000-0005-0000-0000-000082010000}"/>
    <cellStyle name="未定義" xfId="382" xr:uid="{00000000-0005-0000-0000-000083010000}"/>
    <cellStyle name="良い 2" xfId="383" xr:uid="{00000000-0005-0000-0000-000084010000}"/>
    <cellStyle name="良い 3" xfId="384" xr:uid="{00000000-0005-0000-0000-000085010000}"/>
    <cellStyle name="良い 4" xfId="385" xr:uid="{00000000-0005-0000-0000-000086010000}"/>
  </cellStyles>
  <dxfs count="2">
    <dxf>
      <fill>
        <patternFill>
          <bgColor indexed="13"/>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a:extLst>
            <a:ext uri="{FF2B5EF4-FFF2-40B4-BE49-F238E27FC236}">
              <a16:creationId xmlns:a16="http://schemas.microsoft.com/office/drawing/2014/main" id="{00000000-0008-0000-0000-000008330000}"/>
            </a:ext>
          </a:extLst>
        </xdr:cNvPr>
        <xdr:cNvGrpSpPr>
          <a:grpSpLocks/>
        </xdr:cNvGrpSpPr>
      </xdr:nvGrpSpPr>
      <xdr:grpSpPr bwMode="auto">
        <a:xfrm>
          <a:off x="316566" y="13577607"/>
          <a:ext cx="11514605" cy="2849656"/>
          <a:chOff x="33" y="1425"/>
          <a:chExt cx="1209" cy="300"/>
        </a:xfrm>
      </xdr:grpSpPr>
      <xdr:pic>
        <xdr:nvPicPr>
          <xdr:cNvPr id="13098" name="Picture 53">
            <a:extLst>
              <a:ext uri="{FF2B5EF4-FFF2-40B4-BE49-F238E27FC236}">
                <a16:creationId xmlns:a16="http://schemas.microsoft.com/office/drawing/2014/main" id="{00000000-0008-0000-0000-00002A3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a:extLst>
              <a:ext uri="{FF2B5EF4-FFF2-40B4-BE49-F238E27FC236}">
                <a16:creationId xmlns:a16="http://schemas.microsoft.com/office/drawing/2014/main" id="{00000000-0008-0000-0000-00002B3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a:extLst>
              <a:ext uri="{FF2B5EF4-FFF2-40B4-BE49-F238E27FC236}">
                <a16:creationId xmlns:a16="http://schemas.microsoft.com/office/drawing/2014/main" id="{00000000-0008-0000-0000-00002C330000}"/>
              </a:ext>
            </a:extLst>
          </xdr:cNvPr>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a:extLst>
              <a:ext uri="{FF2B5EF4-FFF2-40B4-BE49-F238E27FC236}">
                <a16:creationId xmlns:a16="http://schemas.microsoft.com/office/drawing/2014/main" id="{00000000-0008-0000-0000-00002D330000}"/>
              </a:ext>
            </a:extLst>
          </xdr:cNvPr>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a:extLst>
              <a:ext uri="{FF2B5EF4-FFF2-40B4-BE49-F238E27FC236}">
                <a16:creationId xmlns:a16="http://schemas.microsoft.com/office/drawing/2014/main" id="{00000000-0008-0000-0000-00001E280000}"/>
              </a:ext>
            </a:extLst>
          </xdr:cNvPr>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a:extLst>
              <a:ext uri="{FF2B5EF4-FFF2-40B4-BE49-F238E27FC236}">
                <a16:creationId xmlns:a16="http://schemas.microsoft.com/office/drawing/2014/main" id="{00000000-0008-0000-0000-000020280000}"/>
              </a:ext>
            </a:extLst>
          </xdr:cNvPr>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a:extLst>
              <a:ext uri="{FF2B5EF4-FFF2-40B4-BE49-F238E27FC236}">
                <a16:creationId xmlns:a16="http://schemas.microsoft.com/office/drawing/2014/main" id="{00000000-0008-0000-0000-00003033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a:extLst>
              <a:ext uri="{FF2B5EF4-FFF2-40B4-BE49-F238E27FC236}">
                <a16:creationId xmlns:a16="http://schemas.microsoft.com/office/drawing/2014/main" id="{00000000-0008-0000-0000-00003133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a:extLst>
              <a:ext uri="{FF2B5EF4-FFF2-40B4-BE49-F238E27FC236}">
                <a16:creationId xmlns:a16="http://schemas.microsoft.com/office/drawing/2014/main" id="{00000000-0008-0000-0000-00003233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a:extLst>
              <a:ext uri="{FF2B5EF4-FFF2-40B4-BE49-F238E27FC236}">
                <a16:creationId xmlns:a16="http://schemas.microsoft.com/office/drawing/2014/main" id="{00000000-0008-0000-0000-00002D280000}"/>
              </a:ext>
            </a:extLst>
          </xdr:cNvPr>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a:extLst>
              <a:ext uri="{FF2B5EF4-FFF2-40B4-BE49-F238E27FC236}">
                <a16:creationId xmlns:a16="http://schemas.microsoft.com/office/drawing/2014/main" id="{00000000-0008-0000-0000-000030280000}"/>
              </a:ext>
            </a:extLst>
          </xdr:cNvPr>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a:extLst>
            <a:ext uri="{FF2B5EF4-FFF2-40B4-BE49-F238E27FC236}">
              <a16:creationId xmlns:a16="http://schemas.microsoft.com/office/drawing/2014/main" id="{00000000-0008-0000-0000-00003A280000}"/>
            </a:ext>
          </a:extLst>
        </xdr:cNvPr>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a:extLst>
            <a:ext uri="{FF2B5EF4-FFF2-40B4-BE49-F238E27FC236}">
              <a16:creationId xmlns:a16="http://schemas.microsoft.com/office/drawing/2014/main" id="{00000000-0008-0000-0000-00003E280000}"/>
            </a:ext>
          </a:extLst>
        </xdr:cNvPr>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 uri="{FF2B5EF4-FFF2-40B4-BE49-F238E27FC236}">
                  <a16:creationId xmlns:a16="http://schemas.microsoft.com/office/drawing/2014/main" id="{00000000-0008-0000-0000-00004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a:extLst>
            <a:ext uri="{FF2B5EF4-FFF2-40B4-BE49-F238E27FC236}">
              <a16:creationId xmlns:a16="http://schemas.microsoft.com/office/drawing/2014/main" id="{00000000-0008-0000-0000-00000D330000}"/>
            </a:ext>
          </a:extLst>
        </xdr:cNvPr>
        <xdr:cNvGrpSpPr>
          <a:grpSpLocks/>
        </xdr:cNvGrpSpPr>
      </xdr:nvGrpSpPr>
      <xdr:grpSpPr bwMode="auto">
        <a:xfrm>
          <a:off x="6031006" y="16398688"/>
          <a:ext cx="3519207" cy="1754841"/>
          <a:chOff x="378" y="1679"/>
          <a:chExt cx="370" cy="186"/>
        </a:xfrm>
      </xdr:grpSpPr>
      <xdr:sp macro="" textlink="">
        <xdr:nvSpPr>
          <xdr:cNvPr id="10384" name="Text Box 144">
            <a:extLst>
              <a:ext uri="{FF2B5EF4-FFF2-40B4-BE49-F238E27FC236}">
                <a16:creationId xmlns:a16="http://schemas.microsoft.com/office/drawing/2014/main" id="{00000000-0008-0000-0000-000090280000}"/>
              </a:ext>
            </a:extLst>
          </xdr:cNvPr>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a:extLst>
              <a:ext uri="{FF2B5EF4-FFF2-40B4-BE49-F238E27FC236}">
                <a16:creationId xmlns:a16="http://schemas.microsoft.com/office/drawing/2014/main" id="{00000000-0008-0000-0000-00000F330000}"/>
              </a:ext>
            </a:extLst>
          </xdr:cNvPr>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a:extLst>
              <a:ext uri="{FF2B5EF4-FFF2-40B4-BE49-F238E27FC236}">
                <a16:creationId xmlns:a16="http://schemas.microsoft.com/office/drawing/2014/main" id="{00000000-0008-0000-0000-000010330000}"/>
              </a:ext>
            </a:extLst>
          </xdr:cNvPr>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a:extLst>
              <a:ext uri="{FF2B5EF4-FFF2-40B4-BE49-F238E27FC236}">
                <a16:creationId xmlns:a16="http://schemas.microsoft.com/office/drawing/2014/main" id="{00000000-0008-0000-0000-000011330000}"/>
              </a:ext>
            </a:extLst>
          </xdr:cNvPr>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a:extLst>
              <a:ext uri="{FF2B5EF4-FFF2-40B4-BE49-F238E27FC236}">
                <a16:creationId xmlns:a16="http://schemas.microsoft.com/office/drawing/2014/main" id="{00000000-0008-0000-0000-000012330000}"/>
              </a:ext>
            </a:extLst>
          </xdr:cNvPr>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a:extLst>
              <a:ext uri="{FF2B5EF4-FFF2-40B4-BE49-F238E27FC236}">
                <a16:creationId xmlns:a16="http://schemas.microsoft.com/office/drawing/2014/main" id="{00000000-0008-0000-0000-000013330000}"/>
              </a:ext>
            </a:extLst>
          </xdr:cNvPr>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a:extLst>
              <a:ext uri="{FF2B5EF4-FFF2-40B4-BE49-F238E27FC236}">
                <a16:creationId xmlns:a16="http://schemas.microsoft.com/office/drawing/2014/main" id="{00000000-0008-0000-0000-000014330000}"/>
              </a:ext>
            </a:extLst>
          </xdr:cNvPr>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a:extLst>
              <a:ext uri="{FF2B5EF4-FFF2-40B4-BE49-F238E27FC236}">
                <a16:creationId xmlns:a16="http://schemas.microsoft.com/office/drawing/2014/main" id="{00000000-0008-0000-0000-000015330000}"/>
              </a:ext>
            </a:extLst>
          </xdr:cNvPr>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a:extLst>
              <a:ext uri="{FF2B5EF4-FFF2-40B4-BE49-F238E27FC236}">
                <a16:creationId xmlns:a16="http://schemas.microsoft.com/office/drawing/2014/main" id="{00000000-0008-0000-0000-000091280000}"/>
              </a:ext>
            </a:extLst>
          </xdr:cNvPr>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a:extLst>
              <a:ext uri="{FF2B5EF4-FFF2-40B4-BE49-F238E27FC236}">
                <a16:creationId xmlns:a16="http://schemas.microsoft.com/office/drawing/2014/main" id="{00000000-0008-0000-0000-000017330000}"/>
              </a:ext>
            </a:extLst>
          </xdr:cNvPr>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a:extLst>
              <a:ext uri="{FF2B5EF4-FFF2-40B4-BE49-F238E27FC236}">
                <a16:creationId xmlns:a16="http://schemas.microsoft.com/office/drawing/2014/main" id="{00000000-0008-0000-0000-000094280000}"/>
              </a:ext>
            </a:extLst>
          </xdr:cNvPr>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a:extLst>
              <a:ext uri="{FF2B5EF4-FFF2-40B4-BE49-F238E27FC236}">
                <a16:creationId xmlns:a16="http://schemas.microsoft.com/office/drawing/2014/main" id="{00000000-0008-0000-0000-000019330000}"/>
              </a:ext>
            </a:extLst>
          </xdr:cNvPr>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a:extLst>
              <a:ext uri="{FF2B5EF4-FFF2-40B4-BE49-F238E27FC236}">
                <a16:creationId xmlns:a16="http://schemas.microsoft.com/office/drawing/2014/main" id="{00000000-0008-0000-0000-00001A330000}"/>
              </a:ext>
            </a:extLst>
          </xdr:cNvPr>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a:extLst>
              <a:ext uri="{FF2B5EF4-FFF2-40B4-BE49-F238E27FC236}">
                <a16:creationId xmlns:a16="http://schemas.microsoft.com/office/drawing/2014/main" id="{00000000-0008-0000-0000-00001B330000}"/>
              </a:ext>
            </a:extLst>
          </xdr:cNvPr>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a:extLst>
              <a:ext uri="{FF2B5EF4-FFF2-40B4-BE49-F238E27FC236}">
                <a16:creationId xmlns:a16="http://schemas.microsoft.com/office/drawing/2014/main" id="{00000000-0008-0000-0000-00001C330000}"/>
              </a:ext>
            </a:extLst>
          </xdr:cNvPr>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a:extLst>
              <a:ext uri="{FF2B5EF4-FFF2-40B4-BE49-F238E27FC236}">
                <a16:creationId xmlns:a16="http://schemas.microsoft.com/office/drawing/2014/main" id="{00000000-0008-0000-0000-00009A280000}"/>
              </a:ext>
            </a:extLst>
          </xdr:cNvPr>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a:extLst>
              <a:ext uri="{FF2B5EF4-FFF2-40B4-BE49-F238E27FC236}">
                <a16:creationId xmlns:a16="http://schemas.microsoft.com/office/drawing/2014/main" id="{00000000-0008-0000-0000-00001E330000}"/>
              </a:ext>
            </a:extLst>
          </xdr:cNvPr>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a:extLst>
              <a:ext uri="{FF2B5EF4-FFF2-40B4-BE49-F238E27FC236}">
                <a16:creationId xmlns:a16="http://schemas.microsoft.com/office/drawing/2014/main" id="{00000000-0008-0000-0000-00001F330000}"/>
              </a:ext>
            </a:extLst>
          </xdr:cNvPr>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a:extLst>
              <a:ext uri="{FF2B5EF4-FFF2-40B4-BE49-F238E27FC236}">
                <a16:creationId xmlns:a16="http://schemas.microsoft.com/office/drawing/2014/main" id="{00000000-0008-0000-0000-000020330000}"/>
              </a:ext>
            </a:extLst>
          </xdr:cNvPr>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a:extLst>
              <a:ext uri="{FF2B5EF4-FFF2-40B4-BE49-F238E27FC236}">
                <a16:creationId xmlns:a16="http://schemas.microsoft.com/office/drawing/2014/main" id="{00000000-0008-0000-0000-00009E280000}"/>
              </a:ext>
            </a:extLst>
          </xdr:cNvPr>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a:extLst>
              <a:ext uri="{FF2B5EF4-FFF2-40B4-BE49-F238E27FC236}">
                <a16:creationId xmlns:a16="http://schemas.microsoft.com/office/drawing/2014/main" id="{00000000-0008-0000-0000-000022330000}"/>
              </a:ext>
            </a:extLst>
          </xdr:cNvPr>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a:extLst>
              <a:ext uri="{FF2B5EF4-FFF2-40B4-BE49-F238E27FC236}">
                <a16:creationId xmlns:a16="http://schemas.microsoft.com/office/drawing/2014/main" id="{00000000-0008-0000-0000-000023330000}"/>
              </a:ext>
            </a:extLst>
          </xdr:cNvPr>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a:extLst>
              <a:ext uri="{FF2B5EF4-FFF2-40B4-BE49-F238E27FC236}">
                <a16:creationId xmlns:a16="http://schemas.microsoft.com/office/drawing/2014/main" id="{00000000-0008-0000-0000-000024330000}"/>
              </a:ext>
            </a:extLst>
          </xdr:cNvPr>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a:extLst>
              <a:ext uri="{FF2B5EF4-FFF2-40B4-BE49-F238E27FC236}">
                <a16:creationId xmlns:a16="http://schemas.microsoft.com/office/drawing/2014/main" id="{00000000-0008-0000-0000-0000A2280000}"/>
              </a:ext>
            </a:extLst>
          </xdr:cNvPr>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a:extLst>
              <a:ext uri="{FF2B5EF4-FFF2-40B4-BE49-F238E27FC236}">
                <a16:creationId xmlns:a16="http://schemas.microsoft.com/office/drawing/2014/main" id="{00000000-0008-0000-0000-000026330000}"/>
              </a:ext>
            </a:extLst>
          </xdr:cNvPr>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a:extLst>
              <a:ext uri="{FF2B5EF4-FFF2-40B4-BE49-F238E27FC236}">
                <a16:creationId xmlns:a16="http://schemas.microsoft.com/office/drawing/2014/main" id="{00000000-0008-0000-0000-000027330000}"/>
              </a:ext>
            </a:extLst>
          </xdr:cNvPr>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a:extLst>
              <a:ext uri="{FF2B5EF4-FFF2-40B4-BE49-F238E27FC236}">
                <a16:creationId xmlns:a16="http://schemas.microsoft.com/office/drawing/2014/main" id="{00000000-0008-0000-0000-000028330000}"/>
              </a:ext>
            </a:extLst>
          </xdr:cNvPr>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a:extLst>
              <a:ext uri="{FF2B5EF4-FFF2-40B4-BE49-F238E27FC236}">
                <a16:creationId xmlns:a16="http://schemas.microsoft.com/office/drawing/2014/main" id="{00000000-0008-0000-0000-0000A6280000}"/>
              </a:ext>
            </a:extLst>
          </xdr:cNvPr>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9525</xdr:rowOff>
        </xdr:from>
        <xdr:to>
          <xdr:col>6</xdr:col>
          <xdr:colOff>85725</xdr:colOff>
          <xdr:row>154</xdr:row>
          <xdr:rowOff>123825</xdr:rowOff>
        </xdr:to>
        <xdr:sp macro="" textlink="">
          <xdr:nvSpPr>
            <xdr:cNvPr id="10306" name="TextBox1" hidden="1">
              <a:extLst>
                <a:ext uri="{63B3BB69-23CF-44E3-9099-C40C66FF867C}">
                  <a14:compatExt spid="_x0000_s10306"/>
                </a:ext>
                <a:ext uri="{FF2B5EF4-FFF2-40B4-BE49-F238E27FC236}">
                  <a16:creationId xmlns:a16="http://schemas.microsoft.com/office/drawing/2014/main" id="{00000000-0008-0000-0000-00004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171450</xdr:rowOff>
        </xdr:from>
        <xdr:to>
          <xdr:col>11</xdr:col>
          <xdr:colOff>638175</xdr:colOff>
          <xdr:row>154</xdr:row>
          <xdr:rowOff>104775</xdr:rowOff>
        </xdr:to>
        <xdr:sp macro="" textlink="">
          <xdr:nvSpPr>
            <xdr:cNvPr id="10307" name="TextBox2" hidden="1">
              <a:extLst>
                <a:ext uri="{63B3BB69-23CF-44E3-9099-C40C66FF867C}">
                  <a14:compatExt spid="_x0000_s10307"/>
                </a:ext>
                <a:ext uri="{FF2B5EF4-FFF2-40B4-BE49-F238E27FC236}">
                  <a16:creationId xmlns:a16="http://schemas.microsoft.com/office/drawing/2014/main" id="{00000000-0008-0000-0000-00004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1</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AS-26-FC-E4\media\&#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AS-26-FC-E4\media\&#12539;&#12524;&#65293;&#12523;&#12454;&#12455;&#12452;&#65381;&#12463;&#12523;&#12475;&#12452;&#12480;&#12540;&#12474;\&#33337;&#23567;&#23627;&#39365;&#39640;&#26550;&#20445;&#23432;&#29992;&#26012;&#36335;\&#35336;&#31639;&#26360;\&#12521;&#12540;&#12513;&#12531;&#35336;&#31639;-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AO165"/>
  <sheetViews>
    <sheetView zoomScale="85" zoomScaleNormal="85" workbookViewId="0"/>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276</v>
      </c>
      <c r="B1" s="154"/>
      <c r="C1" s="154"/>
      <c r="D1" s="154"/>
      <c r="E1" s="154"/>
      <c r="F1" s="154"/>
      <c r="G1" s="154"/>
      <c r="H1" s="154"/>
      <c r="I1" s="154"/>
      <c r="J1" s="154"/>
    </row>
    <row r="3" spans="1:11" s="151" customFormat="1" ht="14.25" customHeight="1">
      <c r="B3" s="149" t="s">
        <v>308</v>
      </c>
      <c r="K3" s="152"/>
    </row>
    <row r="4" spans="1:11" s="151" customFormat="1" ht="7.5" customHeight="1"/>
    <row r="5" spans="1:11" s="151" customFormat="1" ht="14.25" customHeight="1">
      <c r="B5" s="151" t="s">
        <v>297</v>
      </c>
    </row>
    <row r="6" spans="1:11" s="151" customFormat="1" ht="14.25" customHeight="1">
      <c r="B6" s="151" t="s">
        <v>298</v>
      </c>
    </row>
    <row r="7" spans="1:11" s="151" customFormat="1" ht="14.25" customHeight="1"/>
    <row r="8" spans="1:11" s="151" customFormat="1" ht="14.25" customHeight="1">
      <c r="B8" s="151" t="s">
        <v>277</v>
      </c>
    </row>
    <row r="9" spans="1:11" s="151" customFormat="1" ht="14.25" customHeight="1">
      <c r="B9" s="151" t="s">
        <v>324</v>
      </c>
    </row>
    <row r="10" spans="1:11" ht="14.25" customHeight="1">
      <c r="B10" s="148" t="s">
        <v>278</v>
      </c>
    </row>
    <row r="11" spans="1:11" ht="14.25" customHeight="1">
      <c r="B11" s="148" t="s">
        <v>325</v>
      </c>
    </row>
    <row r="13" spans="1:11" ht="14.25" customHeight="1">
      <c r="B13" s="148" t="s">
        <v>301</v>
      </c>
    </row>
    <row r="14" spans="1:11" ht="14.25" customHeight="1">
      <c r="B14" s="162" t="s">
        <v>300</v>
      </c>
    </row>
    <row r="16" spans="1:11" ht="14.25" customHeight="1">
      <c r="B16" s="148" t="s">
        <v>302</v>
      </c>
    </row>
    <row r="18" spans="1:19" s="165" customFormat="1" ht="14.25" customHeight="1">
      <c r="A18" s="163"/>
      <c r="B18" s="164" t="s">
        <v>303</v>
      </c>
      <c r="F18" s="163"/>
      <c r="M18" s="163"/>
      <c r="S18" s="163"/>
    </row>
    <row r="19" spans="1:19" s="165" customFormat="1" ht="14.25" customHeight="1">
      <c r="A19" s="163"/>
      <c r="B19" s="232" t="s">
        <v>372</v>
      </c>
      <c r="C19" s="232"/>
      <c r="D19" s="232"/>
      <c r="E19" s="232"/>
      <c r="F19" s="232"/>
      <c r="G19" s="232"/>
      <c r="H19" s="232"/>
      <c r="I19" s="232"/>
      <c r="J19" s="232"/>
      <c r="M19" s="163"/>
      <c r="S19" s="163"/>
    </row>
    <row r="20" spans="1:19" s="165" customFormat="1" ht="14.25" customHeight="1">
      <c r="A20" s="163"/>
      <c r="B20" s="164" t="s">
        <v>336</v>
      </c>
      <c r="F20" s="163"/>
      <c r="M20" s="163"/>
      <c r="S20" s="163"/>
    </row>
    <row r="21" spans="1:19" s="165" customFormat="1" ht="14.25" customHeight="1">
      <c r="A21" s="163"/>
      <c r="B21" s="232" t="s">
        <v>373</v>
      </c>
      <c r="C21" s="232"/>
      <c r="D21" s="232"/>
      <c r="E21" s="232"/>
      <c r="F21" s="232"/>
      <c r="G21" s="232"/>
      <c r="H21" s="232"/>
      <c r="I21" s="232"/>
      <c r="J21" s="232"/>
      <c r="M21" s="163"/>
      <c r="S21" s="163"/>
    </row>
    <row r="23" spans="1:19" ht="14.25" customHeight="1">
      <c r="B23" s="148" t="s">
        <v>306</v>
      </c>
    </row>
    <row r="24" spans="1:19" ht="14.25" customHeight="1">
      <c r="B24" s="156" t="s">
        <v>304</v>
      </c>
    </row>
    <row r="25" spans="1:19" ht="14.25" customHeight="1">
      <c r="B25" s="156" t="s">
        <v>305</v>
      </c>
    </row>
    <row r="28" spans="1:19" s="151" customFormat="1" ht="14.25" customHeight="1">
      <c r="B28" s="149" t="s">
        <v>307</v>
      </c>
      <c r="K28" s="152"/>
    </row>
    <row r="29" spans="1:19" s="151" customFormat="1" ht="7.5" customHeight="1"/>
    <row r="30" spans="1:19" ht="14.25" customHeight="1">
      <c r="B30" s="148" t="s">
        <v>271</v>
      </c>
    </row>
    <row r="31" spans="1:19" ht="14.25" customHeight="1">
      <c r="B31" s="148" t="s">
        <v>272</v>
      </c>
    </row>
    <row r="32" spans="1:19" ht="14.25" customHeight="1">
      <c r="B32" s="148" t="s">
        <v>273</v>
      </c>
    </row>
    <row r="33" spans="2:11" ht="14.25" customHeight="1">
      <c r="B33" s="148" t="s">
        <v>274</v>
      </c>
    </row>
    <row r="34" spans="2:11" ht="14.25" customHeight="1">
      <c r="B34" s="148" t="s">
        <v>275</v>
      </c>
    </row>
    <row r="37" spans="2:11" s="151" customFormat="1" ht="14.25" customHeight="1">
      <c r="B37" s="149" t="s">
        <v>279</v>
      </c>
      <c r="K37" s="152"/>
    </row>
    <row r="38" spans="2:11" s="151" customFormat="1" ht="7.5" customHeight="1"/>
    <row r="39" spans="2:11" ht="14.25" customHeight="1">
      <c r="B39" s="148" t="s">
        <v>284</v>
      </c>
    </row>
    <row r="41" spans="2:11" ht="14.25" customHeight="1">
      <c r="B41" s="156" t="s">
        <v>287</v>
      </c>
    </row>
    <row r="42" spans="2:11" ht="14.25" customHeight="1">
      <c r="B42" s="157" t="s">
        <v>280</v>
      </c>
    </row>
    <row r="43" spans="2:11" ht="14.25" customHeight="1">
      <c r="B43" s="157" t="s">
        <v>281</v>
      </c>
    </row>
    <row r="44" spans="2:11" ht="14.25" customHeight="1">
      <c r="B44" s="156" t="s">
        <v>288</v>
      </c>
    </row>
    <row r="45" spans="2:11" ht="14.25" customHeight="1">
      <c r="B45" s="157" t="s">
        <v>280</v>
      </c>
    </row>
    <row r="46" spans="2:11" ht="14.25" customHeight="1">
      <c r="B46" s="157" t="s">
        <v>281</v>
      </c>
    </row>
    <row r="47" spans="2:11" ht="14.25" customHeight="1">
      <c r="B47" s="156" t="s">
        <v>289</v>
      </c>
    </row>
    <row r="48" spans="2:11" ht="14.25" customHeight="1">
      <c r="B48" s="157" t="s">
        <v>280</v>
      </c>
    </row>
    <row r="49" spans="2:2" ht="14.25" customHeight="1">
      <c r="B49" s="156" t="s">
        <v>290</v>
      </c>
    </row>
    <row r="50" spans="2:2" ht="14.25" customHeight="1">
      <c r="B50" s="157" t="s">
        <v>282</v>
      </c>
    </row>
    <row r="51" spans="2:2" ht="14.25" customHeight="1">
      <c r="B51" s="157" t="s">
        <v>283</v>
      </c>
    </row>
    <row r="53" spans="2:2" ht="14.25" customHeight="1">
      <c r="B53" s="159" t="s">
        <v>294</v>
      </c>
    </row>
    <row r="54" spans="2:2" ht="14.25" customHeight="1">
      <c r="B54" s="161" t="s">
        <v>295</v>
      </c>
    </row>
    <row r="55" spans="2:2" ht="14.25" customHeight="1">
      <c r="B55" s="160" t="s">
        <v>285</v>
      </c>
    </row>
    <row r="56" spans="2:2" ht="14.25" customHeight="1">
      <c r="B56" s="148" t="s">
        <v>286</v>
      </c>
    </row>
    <row r="58" spans="2:2" ht="14.25" customHeight="1">
      <c r="B58" s="160" t="s">
        <v>296</v>
      </c>
    </row>
    <row r="59" spans="2:2" ht="14.25" customHeight="1">
      <c r="B59" s="148" t="s">
        <v>326</v>
      </c>
    </row>
    <row r="60" spans="2:2" ht="14.25" customHeight="1">
      <c r="B60" s="161" t="s">
        <v>291</v>
      </c>
    </row>
    <row r="62" spans="2:2" ht="14.25" customHeight="1">
      <c r="B62" s="148" t="s">
        <v>292</v>
      </c>
    </row>
    <row r="63" spans="2:2" ht="14.25" customHeight="1">
      <c r="B63" s="148" t="s">
        <v>293</v>
      </c>
    </row>
    <row r="65" spans="2:21" ht="14.25" customHeight="1">
      <c r="B65" s="148" t="s">
        <v>309</v>
      </c>
    </row>
    <row r="66" spans="2:21" ht="27" customHeight="1">
      <c r="B66" s="166" t="s">
        <v>14</v>
      </c>
      <c r="C66" s="167" t="s">
        <v>246</v>
      </c>
    </row>
    <row r="67" spans="2:21" ht="27" customHeight="1">
      <c r="B67" s="166" t="s">
        <v>3</v>
      </c>
      <c r="C67" s="167" t="s">
        <v>337</v>
      </c>
    </row>
    <row r="71" spans="2:21" s="151" customFormat="1" ht="14.25" customHeight="1">
      <c r="B71" s="149" t="s">
        <v>299</v>
      </c>
      <c r="K71" s="152"/>
    </row>
    <row r="72" spans="2:21" s="151" customFormat="1" ht="7.5" customHeight="1"/>
    <row r="73" spans="2:21" ht="14.25" customHeight="1">
      <c r="B73" s="151" t="s">
        <v>312</v>
      </c>
    </row>
    <row r="74" spans="2:21" ht="14.25" customHeight="1">
      <c r="B74" s="148" t="s">
        <v>310</v>
      </c>
    </row>
    <row r="76" spans="2:21" ht="14.25" customHeight="1">
      <c r="U76"/>
    </row>
    <row r="81" spans="2:20" ht="14.25" customHeight="1">
      <c r="N81"/>
    </row>
    <row r="82" spans="2:20" ht="14.25" customHeight="1">
      <c r="N82" s="148" t="s">
        <v>311</v>
      </c>
    </row>
    <row r="83" spans="2:20" ht="14.25" customHeight="1">
      <c r="K83"/>
    </row>
    <row r="85" spans="2:20" ht="14.25" customHeight="1">
      <c r="L85"/>
      <c r="T85"/>
    </row>
    <row r="87" spans="2:20" ht="14.25" customHeight="1">
      <c r="G87"/>
      <c r="L87"/>
    </row>
    <row r="88" spans="2:20" ht="14.25" customHeight="1">
      <c r="K88"/>
    </row>
    <row r="93" spans="2:20" ht="14.25" customHeight="1">
      <c r="B93" s="151" t="s">
        <v>313</v>
      </c>
    </row>
    <row r="94" spans="2:20" ht="14.25" customHeight="1">
      <c r="B94" s="168" t="s">
        <v>327</v>
      </c>
    </row>
    <row r="95" spans="2:20" ht="14.25" customHeight="1">
      <c r="B95" s="168" t="s">
        <v>323</v>
      </c>
    </row>
    <row r="97" spans="1:27" ht="14.25" customHeight="1">
      <c r="B97" s="168" t="s">
        <v>328</v>
      </c>
    </row>
    <row r="98" spans="1:27" ht="14.25" customHeight="1">
      <c r="B98" s="168" t="s">
        <v>329</v>
      </c>
    </row>
    <row r="101" spans="1:27" ht="14.25" customHeight="1">
      <c r="B101" s="150" t="s">
        <v>247</v>
      </c>
    </row>
    <row r="102" spans="1:27" ht="14.25" customHeight="1">
      <c r="B102" s="228" t="s">
        <v>248</v>
      </c>
      <c r="C102" s="228" t="s">
        <v>314</v>
      </c>
      <c r="D102" s="233" t="s">
        <v>249</v>
      </c>
    </row>
    <row r="103" spans="1:27" ht="14.25" customHeight="1">
      <c r="B103" s="229"/>
      <c r="C103" s="229"/>
      <c r="D103" s="234"/>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250</v>
      </c>
      <c r="N106" s="150" t="s">
        <v>251</v>
      </c>
      <c r="T106" s="150" t="s">
        <v>252</v>
      </c>
    </row>
    <row r="107" spans="1:27" ht="14.25" customHeight="1">
      <c r="B107" s="228" t="s">
        <v>253</v>
      </c>
      <c r="C107" s="230" t="s">
        <v>254</v>
      </c>
      <c r="D107" s="230" t="s">
        <v>255</v>
      </c>
      <c r="E107" s="233" t="s">
        <v>256</v>
      </c>
      <c r="G107" s="228" t="s">
        <v>256</v>
      </c>
      <c r="H107" s="230" t="s">
        <v>257</v>
      </c>
      <c r="I107" s="230" t="s">
        <v>258</v>
      </c>
      <c r="J107" s="230" t="s">
        <v>259</v>
      </c>
      <c r="K107" s="230" t="s">
        <v>260</v>
      </c>
      <c r="L107" s="233" t="s">
        <v>261</v>
      </c>
      <c r="N107" s="228" t="s">
        <v>262</v>
      </c>
      <c r="O107" s="230" t="s">
        <v>263</v>
      </c>
      <c r="P107" s="230" t="s">
        <v>264</v>
      </c>
      <c r="Q107" s="230" t="s">
        <v>265</v>
      </c>
      <c r="R107" s="233" t="s">
        <v>256</v>
      </c>
      <c r="T107" s="228" t="s">
        <v>256</v>
      </c>
      <c r="U107" s="230" t="s">
        <v>266</v>
      </c>
      <c r="V107" s="230" t="s">
        <v>267</v>
      </c>
      <c r="W107" s="230" t="s">
        <v>259</v>
      </c>
      <c r="X107" s="230" t="s">
        <v>261</v>
      </c>
      <c r="Y107" s="230" t="s">
        <v>268</v>
      </c>
      <c r="Z107" s="230" t="s">
        <v>269</v>
      </c>
      <c r="AA107" s="233" t="s">
        <v>270</v>
      </c>
    </row>
    <row r="108" spans="1:27" ht="14.25" customHeight="1">
      <c r="B108" s="229"/>
      <c r="C108" s="231"/>
      <c r="D108" s="231"/>
      <c r="E108" s="234"/>
      <c r="G108" s="229"/>
      <c r="H108" s="231"/>
      <c r="I108" s="231"/>
      <c r="J108" s="231"/>
      <c r="K108" s="231"/>
      <c r="L108" s="234"/>
      <c r="N108" s="229"/>
      <c r="O108" s="231"/>
      <c r="P108" s="231"/>
      <c r="Q108" s="231"/>
      <c r="R108" s="234"/>
      <c r="T108" s="229"/>
      <c r="U108" s="231"/>
      <c r="V108" s="231"/>
      <c r="W108" s="231"/>
      <c r="X108" s="231"/>
      <c r="Y108" s="231"/>
      <c r="Z108" s="231"/>
      <c r="AA108" s="234"/>
    </row>
    <row r="109" spans="1:27" s="158" customFormat="1" ht="14.25" customHeight="1">
      <c r="A109" s="171"/>
      <c r="B109" s="172">
        <v>800</v>
      </c>
      <c r="C109" s="173">
        <v>800</v>
      </c>
      <c r="D109" s="173">
        <v>800</v>
      </c>
      <c r="E109" s="174" t="s">
        <v>315</v>
      </c>
      <c r="F109" s="171"/>
      <c r="G109" s="175" t="s">
        <v>315</v>
      </c>
      <c r="H109" s="173">
        <v>24</v>
      </c>
      <c r="I109" s="173">
        <v>1.3</v>
      </c>
      <c r="J109" s="173">
        <v>25</v>
      </c>
      <c r="K109" s="173">
        <v>25</v>
      </c>
      <c r="L109" s="176">
        <v>1</v>
      </c>
      <c r="M109" s="171"/>
      <c r="N109" s="172">
        <v>75</v>
      </c>
      <c r="O109" s="177" t="s">
        <v>316</v>
      </c>
      <c r="P109" s="173">
        <v>8</v>
      </c>
      <c r="Q109" s="178"/>
      <c r="R109" s="174" t="s">
        <v>317</v>
      </c>
      <c r="S109" s="171"/>
      <c r="T109" s="175" t="s">
        <v>317</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316</v>
      </c>
      <c r="P110" s="180">
        <v>2</v>
      </c>
      <c r="Q110" s="185"/>
      <c r="R110" s="181" t="s">
        <v>317</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316</v>
      </c>
      <c r="P111" s="180">
        <v>2</v>
      </c>
      <c r="Q111" s="185"/>
      <c r="R111" s="181" t="s">
        <v>317</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316</v>
      </c>
      <c r="P112" s="180">
        <v>2</v>
      </c>
      <c r="Q112" s="185"/>
      <c r="R112" s="181" t="s">
        <v>317</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316</v>
      </c>
      <c r="P113" s="180">
        <v>2</v>
      </c>
      <c r="Q113" s="185"/>
      <c r="R113" s="181" t="s">
        <v>317</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316</v>
      </c>
      <c r="P114" s="180">
        <v>2</v>
      </c>
      <c r="Q114" s="185"/>
      <c r="R114" s="181" t="s">
        <v>317</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316</v>
      </c>
      <c r="P115" s="180">
        <v>2</v>
      </c>
      <c r="Q115" s="185"/>
      <c r="R115" s="181" t="s">
        <v>317</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316</v>
      </c>
      <c r="P116" s="180">
        <v>8</v>
      </c>
      <c r="Q116" s="185" t="s">
        <v>318</v>
      </c>
      <c r="R116" s="181" t="s">
        <v>317</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322</v>
      </c>
      <c r="K157" s="152"/>
    </row>
    <row r="158" spans="2:11" s="151" customFormat="1" ht="7.5" customHeight="1"/>
    <row r="159" spans="2:11" ht="14.25" customHeight="1">
      <c r="B159" s="194" t="s">
        <v>321</v>
      </c>
    </row>
    <row r="160" spans="2:11" ht="14.25" customHeight="1">
      <c r="B160" s="194" t="s">
        <v>320</v>
      </c>
    </row>
    <row r="161" spans="2:2" ht="14.25" customHeight="1">
      <c r="B161" s="196" t="s">
        <v>380</v>
      </c>
    </row>
    <row r="162" spans="2:2" ht="14.25" customHeight="1">
      <c r="B162" s="196" t="s">
        <v>381</v>
      </c>
    </row>
    <row r="163" spans="2:2" ht="14.25" customHeight="1">
      <c r="B163" s="196" t="s">
        <v>338</v>
      </c>
    </row>
    <row r="164" spans="2:2" ht="14.25" customHeight="1">
      <c r="B164" s="195" t="s">
        <v>319</v>
      </c>
    </row>
    <row r="165" spans="2:2" ht="14.25" customHeight="1">
      <c r="B165" s="197" t="s">
        <v>382</v>
      </c>
    </row>
  </sheetData>
  <mergeCells count="2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I107:I108"/>
    <mergeCell ref="J107:J108"/>
    <mergeCell ref="G107:G108"/>
    <mergeCell ref="N107:N108"/>
    <mergeCell ref="O107:O108"/>
    <mergeCell ref="B19:J19"/>
    <mergeCell ref="B21:J21"/>
    <mergeCell ref="Y107:Y108"/>
    <mergeCell ref="H107:H108"/>
    <mergeCell ref="B102:B103"/>
    <mergeCell ref="C102:C103"/>
    <mergeCell ref="B107:B108"/>
    <mergeCell ref="C107:C108"/>
    <mergeCell ref="D107:D108"/>
    <mergeCell ref="E107:E108"/>
  </mergeCells>
  <phoneticPr fontId="2"/>
  <dataValidations count="4">
    <dataValidation type="list" allowBlank="1" showInputMessage="1" showErrorMessage="1" sqref="Q109:Q118" xr:uid="{00000000-0002-0000-0000-000000000000}">
      <formula1>"○"</formula1>
    </dataValidation>
    <dataValidation type="list" allowBlank="1" showInputMessage="1" sqref="E109:E118" xr:uid="{00000000-0002-0000-0000-000001000000}">
      <formula1>$G$109:$G$118</formula1>
    </dataValidation>
    <dataValidation type="list" allowBlank="1" showErrorMessage="1" sqref="R109:R118" xr:uid="{00000000-0002-0000-0000-000002000000}">
      <formula1>$T$109:$T$118</formula1>
    </dataValidation>
    <dataValidation type="decimal" operator="greaterThanOrEqual" allowBlank="1" showInputMessage="1" showErrorMessage="1" sqref="C104" xr:uid="{00000000-0002-0000-0000-000003000000}">
      <formula1>0</formula1>
    </dataValidation>
  </dataValidations>
  <hyperlinks>
    <hyperlink ref="B14" r:id="rId1" xr:uid="{00000000-0004-0000-0000-000000000000}"/>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6" r:id="rId6" name="TextBox1">
          <controlPr defaultSize="0" autoLine="0" autoPict="0" r:id="rId7">
            <anchor moveWithCells="1">
              <from>
                <xdr:col>1</xdr:col>
                <xdr:colOff>704850</xdr:colOff>
                <xdr:row>121</xdr:row>
                <xdr:rowOff>9525</xdr:rowOff>
              </from>
              <to>
                <xdr:col>6</xdr:col>
                <xdr:colOff>85725</xdr:colOff>
                <xdr:row>154</xdr:row>
                <xdr:rowOff>123825</xdr:rowOff>
              </to>
            </anchor>
          </controlPr>
        </control>
      </mc:Choice>
      <mc:Fallback>
        <control shapeId="10306" r:id="rId6" name="TextBox1"/>
      </mc:Fallback>
    </mc:AlternateContent>
    <mc:AlternateContent xmlns:mc="http://schemas.openxmlformats.org/markup-compatibility/2006">
      <mc:Choice Requires="x14">
        <control shapeId="10307" r:id="rId8" name="TextBox2">
          <controlPr defaultSize="0" autoLine="0" autoPict="0" r:id="rId9">
            <anchor moveWithCells="1">
              <from>
                <xdr:col>7</xdr:col>
                <xdr:colOff>47625</xdr:colOff>
                <xdr:row>120</xdr:row>
                <xdr:rowOff>171450</xdr:rowOff>
              </from>
              <to>
                <xdr:col>11</xdr:col>
                <xdr:colOff>638175</xdr:colOff>
                <xdr:row>154</xdr:row>
                <xdr:rowOff>104775</xdr:rowOff>
              </to>
            </anchor>
          </controlPr>
        </control>
      </mc:Choice>
      <mc:Fallback>
        <control shapeId="10307" r:id="rId8" name="TextBox2"/>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C42"/>
  <sheetViews>
    <sheetView view="pageBreakPreview" zoomScale="115" zoomScaleNormal="100" zoomScaleSheetLayoutView="115" workbookViewId="0">
      <selection activeCell="E21" sqref="E21"/>
    </sheetView>
  </sheetViews>
  <sheetFormatPr defaultColWidth="12.625" defaultRowHeight="15.75" customHeight="1"/>
  <cols>
    <col min="1" max="1" width="2.625" style="217" customWidth="1"/>
    <col min="2" max="2" width="16.625" style="203" customWidth="1"/>
    <col min="3" max="3" width="12.625" style="201"/>
    <col min="4" max="16384" width="12.625" style="217"/>
  </cols>
  <sheetData>
    <row r="1" spans="1:3" s="204" customFormat="1" ht="15.75" customHeight="1">
      <c r="A1" s="202"/>
      <c r="B1" s="203"/>
      <c r="C1" s="201"/>
    </row>
    <row r="2" spans="1:3" s="21" customFormat="1" ht="15.75" customHeight="1">
      <c r="A2" s="21" t="s">
        <v>365</v>
      </c>
      <c r="C2" s="201"/>
    </row>
    <row r="3" spans="1:3" s="21" customFormat="1" ht="15.75" customHeight="1">
      <c r="A3" s="235" t="s">
        <v>0</v>
      </c>
      <c r="B3" s="236"/>
      <c r="C3" s="64" t="s">
        <v>378</v>
      </c>
    </row>
    <row r="4" spans="1:3" s="21" customFormat="1" ht="15.75" customHeight="1">
      <c r="A4" s="237" t="s">
        <v>1</v>
      </c>
      <c r="B4" s="238"/>
      <c r="C4" s="63" t="s">
        <v>379</v>
      </c>
    </row>
    <row r="5" spans="1:3" s="21" customFormat="1" ht="15.75" customHeight="1">
      <c r="A5" s="237" t="s">
        <v>2</v>
      </c>
      <c r="B5" s="238"/>
      <c r="C5" s="18" t="s">
        <v>245</v>
      </c>
    </row>
    <row r="6" spans="1:3" s="21" customFormat="1" ht="15.75" customHeight="1">
      <c r="A6" s="242" t="s">
        <v>345</v>
      </c>
      <c r="B6" s="205" t="s">
        <v>367</v>
      </c>
      <c r="C6" s="18">
        <v>1800</v>
      </c>
    </row>
    <row r="7" spans="1:3" s="21" customFormat="1" ht="15.75" customHeight="1">
      <c r="A7" s="242"/>
      <c r="B7" s="205" t="s">
        <v>370</v>
      </c>
      <c r="C7" s="18"/>
    </row>
    <row r="8" spans="1:3" s="21" customFormat="1" ht="15.75" customHeight="1">
      <c r="A8" s="242"/>
      <c r="B8" s="205" t="s">
        <v>366</v>
      </c>
      <c r="C8" s="18"/>
    </row>
    <row r="9" spans="1:3" s="21" customFormat="1" ht="15.75" customHeight="1">
      <c r="A9" s="242"/>
      <c r="B9" s="205" t="s">
        <v>369</v>
      </c>
      <c r="C9" s="18">
        <v>1200</v>
      </c>
    </row>
    <row r="10" spans="1:3" s="21" customFormat="1" ht="15.75" customHeight="1">
      <c r="A10" s="242" t="s">
        <v>346</v>
      </c>
      <c r="B10" s="205" t="s">
        <v>14</v>
      </c>
      <c r="C10" s="144" t="s">
        <v>374</v>
      </c>
    </row>
    <row r="11" spans="1:3" s="21" customFormat="1" ht="15.75" customHeight="1">
      <c r="A11" s="242"/>
      <c r="B11" s="205" t="s">
        <v>3</v>
      </c>
      <c r="C11" s="144">
        <v>100</v>
      </c>
    </row>
    <row r="12" spans="1:3" s="21" customFormat="1" ht="15.75" customHeight="1">
      <c r="A12" s="242"/>
      <c r="B12" s="205" t="s">
        <v>244</v>
      </c>
      <c r="C12" s="18"/>
    </row>
    <row r="13" spans="1:3" s="206" customFormat="1" ht="15.75" customHeight="1">
      <c r="A13" s="242"/>
      <c r="B13" s="205" t="s">
        <v>4</v>
      </c>
      <c r="C13" s="18"/>
    </row>
    <row r="14" spans="1:3" s="206" customFormat="1" ht="15.75" customHeight="1">
      <c r="A14" s="242" t="s">
        <v>347</v>
      </c>
      <c r="B14" s="205" t="s">
        <v>15</v>
      </c>
      <c r="C14" s="19">
        <v>24</v>
      </c>
    </row>
    <row r="15" spans="1:3" s="206" customFormat="1" ht="15.75" customHeight="1">
      <c r="A15" s="242"/>
      <c r="B15" s="205" t="s">
        <v>362</v>
      </c>
      <c r="C15" s="207">
        <f>getEc(C14)</f>
        <v>25</v>
      </c>
    </row>
    <row r="16" spans="1:3" s="206" customFormat="1" ht="15.75" customHeight="1">
      <c r="A16" s="242"/>
      <c r="B16" s="205" t="s">
        <v>17</v>
      </c>
      <c r="C16" s="63">
        <v>345</v>
      </c>
    </row>
    <row r="17" spans="1:3" s="206" customFormat="1" ht="15.75" customHeight="1">
      <c r="A17" s="242"/>
      <c r="B17" s="205" t="s">
        <v>363</v>
      </c>
      <c r="C17" s="207">
        <f>getEs(C16)</f>
        <v>200</v>
      </c>
    </row>
    <row r="18" spans="1:3" s="206" customFormat="1" ht="15.75" customHeight="1">
      <c r="A18" s="242"/>
      <c r="B18" s="205" t="s">
        <v>30</v>
      </c>
      <c r="C18" s="208">
        <f>IF(C15=0,"",C17/C15)</f>
        <v>8</v>
      </c>
    </row>
    <row r="19" spans="1:3" s="206" customFormat="1" ht="15.75" customHeight="1">
      <c r="A19" s="241" t="s">
        <v>348</v>
      </c>
      <c r="B19" s="205" t="s">
        <v>19</v>
      </c>
      <c r="C19" s="19">
        <v>1000</v>
      </c>
    </row>
    <row r="20" spans="1:3" s="206" customFormat="1" ht="15.75" customHeight="1">
      <c r="A20" s="241"/>
      <c r="B20" s="205" t="s">
        <v>376</v>
      </c>
      <c r="C20" s="19">
        <v>100</v>
      </c>
    </row>
    <row r="21" spans="1:3" s="206" customFormat="1" ht="15.75" customHeight="1">
      <c r="A21" s="239" t="s">
        <v>349</v>
      </c>
      <c r="B21" s="205" t="s">
        <v>57</v>
      </c>
      <c r="C21" s="209">
        <v>628.42730712890625</v>
      </c>
    </row>
    <row r="22" spans="1:3" s="206" customFormat="1" ht="15.75" customHeight="1">
      <c r="A22" s="239"/>
      <c r="B22" s="205" t="s">
        <v>21</v>
      </c>
      <c r="C22" s="210">
        <v>1.9216682910919189</v>
      </c>
    </row>
    <row r="23" spans="1:3" s="206" customFormat="1" ht="15.75" customHeight="1">
      <c r="A23" s="239"/>
      <c r="B23" s="205" t="s">
        <v>26</v>
      </c>
      <c r="C23" s="210">
        <v>26.214105606079102</v>
      </c>
    </row>
    <row r="24" spans="1:3" s="206" customFormat="1" ht="19.5" customHeight="1">
      <c r="A24" s="239" t="s">
        <v>350</v>
      </c>
      <c r="B24" s="205" t="s">
        <v>364</v>
      </c>
      <c r="C24" s="211">
        <v>9</v>
      </c>
    </row>
    <row r="25" spans="1:3" s="206" customFormat="1" ht="19.5" customHeight="1">
      <c r="A25" s="239"/>
      <c r="B25" s="205" t="s">
        <v>361</v>
      </c>
      <c r="C25" s="211">
        <v>180</v>
      </c>
    </row>
    <row r="26" spans="1:3" s="206" customFormat="1" ht="19.5" customHeight="1">
      <c r="A26" s="240"/>
      <c r="B26" s="212" t="s">
        <v>29</v>
      </c>
      <c r="C26" s="31" t="str">
        <f>IF(C24*C25=0,"",IF(MAX(C22/C24,C23/C25)&lt;1,"OK","NG"))</f>
        <v>OK</v>
      </c>
    </row>
    <row r="27" spans="1:3" s="206" customFormat="1" ht="15.75" customHeight="1">
      <c r="A27" s="213"/>
      <c r="B27" s="214"/>
      <c r="C27" s="215"/>
    </row>
    <row r="28" spans="1:3" ht="15.75" customHeight="1">
      <c r="A28" s="216" t="s">
        <v>352</v>
      </c>
      <c r="B28" s="217"/>
      <c r="C28" s="218"/>
    </row>
    <row r="29" spans="1:3" ht="15.75" customHeight="1">
      <c r="A29" s="248" t="s">
        <v>345</v>
      </c>
      <c r="B29" s="219" t="s">
        <v>368</v>
      </c>
      <c r="C29" s="224">
        <f>IF(C31="","",bc(C5,C6,C9))</f>
        <v>1200</v>
      </c>
    </row>
    <row r="30" spans="1:3" ht="15.75" customHeight="1">
      <c r="A30" s="242"/>
      <c r="B30" s="205" t="s">
        <v>371</v>
      </c>
      <c r="C30" s="225">
        <f>IF(C31="","",dc(C5,C6,C9,C10,C11))</f>
        <v>1700</v>
      </c>
    </row>
    <row r="31" spans="1:3" ht="19.5" customHeight="1">
      <c r="A31" s="239" t="s">
        <v>349</v>
      </c>
      <c r="B31" s="205" t="s">
        <v>375</v>
      </c>
      <c r="C31" s="72">
        <v>200</v>
      </c>
    </row>
    <row r="32" spans="1:3" ht="19.5" customHeight="1">
      <c r="A32" s="239"/>
      <c r="B32" s="220" t="s">
        <v>353</v>
      </c>
      <c r="C32" s="226">
        <f>IF(C31="","",IF(C29*C30=0,"",C31*1000/(C29*C30)))</f>
        <v>9.8039215686274508E-2</v>
      </c>
    </row>
    <row r="33" spans="1:3" ht="19.5" customHeight="1">
      <c r="A33" s="239" t="s">
        <v>354</v>
      </c>
      <c r="B33" s="220" t="s">
        <v>355</v>
      </c>
      <c r="C33" s="221">
        <v>0.2</v>
      </c>
    </row>
    <row r="34" spans="1:3" ht="19.5" customHeight="1">
      <c r="A34" s="240"/>
      <c r="B34" s="212" t="s">
        <v>6</v>
      </c>
      <c r="C34" s="227" t="str">
        <f>IF(C31="","",IF(C32&gt;C33,"-","OK"))</f>
        <v>OK</v>
      </c>
    </row>
    <row r="35" spans="1:3" ht="15.75" customHeight="1">
      <c r="A35" s="243" t="s">
        <v>356</v>
      </c>
      <c r="B35" s="246" t="s">
        <v>357</v>
      </c>
      <c r="C35" s="200" t="s">
        <v>377</v>
      </c>
    </row>
    <row r="36" spans="1:3" ht="15.75" customHeight="1">
      <c r="A36" s="244"/>
      <c r="B36" s="247"/>
      <c r="C36" s="222">
        <f>Ass("矩形", 1, 1, C35)</f>
        <v>253.39999389648438</v>
      </c>
    </row>
    <row r="37" spans="1:3" ht="15.75" customHeight="1">
      <c r="A37" s="244"/>
      <c r="B37" s="205" t="s">
        <v>358</v>
      </c>
      <c r="C37" s="63">
        <v>300</v>
      </c>
    </row>
    <row r="38" spans="1:3" ht="15.75" customHeight="1">
      <c r="A38" s="244"/>
      <c r="B38" s="223" t="s">
        <v>359</v>
      </c>
      <c r="C38" s="27" t="str">
        <f>IF(C32&gt;C33,0.5*C33*C29*C30/1000,"")</f>
        <v/>
      </c>
    </row>
    <row r="39" spans="1:3" ht="15.75" customHeight="1">
      <c r="A39" s="244"/>
      <c r="B39" s="223" t="s">
        <v>360</v>
      </c>
      <c r="C39" s="27" t="str">
        <f>IF(C32&gt;C33,C31-C38,"")</f>
        <v/>
      </c>
    </row>
    <row r="40" spans="1:3" ht="15.75" customHeight="1">
      <c r="A40" s="244"/>
      <c r="B40" s="223" t="s">
        <v>361</v>
      </c>
      <c r="C40" s="27" t="str">
        <f>IF(C31="","",IF(C36*C30=0,"",IF(C32&gt;C33,1.15*C39*1000*C37/(C36*C30),"")))</f>
        <v/>
      </c>
    </row>
    <row r="41" spans="1:3" ht="15.75" customHeight="1">
      <c r="A41" s="244"/>
      <c r="B41" s="220" t="s">
        <v>351</v>
      </c>
      <c r="C41" s="211">
        <v>180</v>
      </c>
    </row>
    <row r="42" spans="1:3" ht="15.75" customHeight="1">
      <c r="A42" s="245"/>
      <c r="B42" s="212" t="s">
        <v>6</v>
      </c>
      <c r="C42" s="199" t="str">
        <f>IF(C32="","",IF(C32&gt;C33,IF(C41&gt;C40,"OK","NG"),""))</f>
        <v/>
      </c>
    </row>
  </sheetData>
  <sheetProtection formatCells="0" formatColumns="0" formatRows="0" insertColumns="0" deleteColumns="0" deleteRows="0"/>
  <mergeCells count="14">
    <mergeCell ref="A35:A42"/>
    <mergeCell ref="B35:B36"/>
    <mergeCell ref="A31:A32"/>
    <mergeCell ref="A33:A34"/>
    <mergeCell ref="A29:A30"/>
    <mergeCell ref="A3:B3"/>
    <mergeCell ref="A4:B4"/>
    <mergeCell ref="A5:B5"/>
    <mergeCell ref="A24:A26"/>
    <mergeCell ref="A19:A20"/>
    <mergeCell ref="A21:A23"/>
    <mergeCell ref="A6:A9"/>
    <mergeCell ref="A10:A13"/>
    <mergeCell ref="A14:A18"/>
  </mergeCells>
  <phoneticPr fontId="2"/>
  <conditionalFormatting sqref="C42">
    <cfRule type="cellIs" dxfId="1" priority="11" operator="equal">
      <formula>"NG"</formula>
    </cfRule>
  </conditionalFormatting>
  <conditionalFormatting sqref="C34">
    <cfRule type="cellIs" dxfId="0" priority="10" stopIfTrue="1" operator="equal">
      <formula>"NG"</formula>
    </cfRule>
  </conditionalFormatting>
  <dataValidations count="1">
    <dataValidation type="list" showInputMessage="1" showErrorMessage="1" sqref="C5" xr:uid="{00000000-0002-0000-0100-000000000000}">
      <formula1>"矩形,円形,Ｔ形,逆T形,小判形,円環断面"</formula1>
    </dataValidation>
  </dataValidations>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Sheet16.許容応力度_ボタン1_Click">
                <anchor>
                  <from>
                    <xdr:col>0</xdr:col>
                    <xdr:colOff>0</xdr:colOff>
                    <xdr:row>0</xdr:row>
                    <xdr:rowOff>0</xdr:rowOff>
                  </from>
                  <to>
                    <xdr:col>2</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5"/>
  <dimension ref="A2:C33"/>
  <sheetViews>
    <sheetView view="pageBreakPreview" zoomScale="115" zoomScaleNormal="100" zoomScaleSheetLayoutView="115" workbookViewId="0">
      <selection activeCell="F19" sqref="F19"/>
    </sheetView>
  </sheetViews>
  <sheetFormatPr defaultColWidth="13.875" defaultRowHeight="15.75" customHeight="1" outlineLevelRow="1"/>
  <cols>
    <col min="1" max="1" width="16.625" style="2" bestFit="1" customWidth="1"/>
    <col min="2" max="3" width="12.75" style="1" customWidth="1"/>
    <col min="4" max="16384" width="13.875" style="1"/>
  </cols>
  <sheetData>
    <row r="2" spans="1:3" ht="15.75" customHeight="1">
      <c r="A2" s="1" t="s">
        <v>51</v>
      </c>
    </row>
    <row r="3" spans="1:3" ht="15.75" customHeight="1">
      <c r="A3" s="3" t="s">
        <v>0</v>
      </c>
      <c r="B3" s="64" t="s">
        <v>339</v>
      </c>
      <c r="C3" s="64" t="s">
        <v>339</v>
      </c>
    </row>
    <row r="4" spans="1:3" ht="15.75" customHeight="1">
      <c r="A4" s="4" t="s">
        <v>1</v>
      </c>
      <c r="B4" s="63" t="s">
        <v>344</v>
      </c>
      <c r="C4" s="63" t="s">
        <v>344</v>
      </c>
    </row>
    <row r="5" spans="1:3" ht="15.75" customHeight="1">
      <c r="A5" s="4" t="s">
        <v>2</v>
      </c>
      <c r="B5" s="18" t="s">
        <v>341</v>
      </c>
      <c r="C5" s="18" t="s">
        <v>341</v>
      </c>
    </row>
    <row r="6" spans="1:3" ht="15.75" customHeight="1">
      <c r="A6" s="4" t="s">
        <v>243</v>
      </c>
      <c r="B6" s="18">
        <v>1600</v>
      </c>
      <c r="C6" s="18">
        <v>1600</v>
      </c>
    </row>
    <row r="7" spans="1:3" ht="15.75" customHeight="1">
      <c r="A7" s="4" t="s">
        <v>38</v>
      </c>
      <c r="B7" s="18"/>
      <c r="C7" s="18"/>
    </row>
    <row r="8" spans="1:3" ht="15.75" customHeight="1">
      <c r="A8" s="4" t="s">
        <v>39</v>
      </c>
      <c r="B8" s="18"/>
      <c r="C8" s="18"/>
    </row>
    <row r="9" spans="1:3" ht="15.75" customHeight="1">
      <c r="A9" s="4" t="s">
        <v>40</v>
      </c>
      <c r="B9" s="18"/>
      <c r="C9" s="18"/>
    </row>
    <row r="10" spans="1:3" ht="22.5" customHeight="1">
      <c r="A10" s="4" t="s">
        <v>41</v>
      </c>
      <c r="B10" s="198" t="s">
        <v>342</v>
      </c>
      <c r="C10" s="198" t="s">
        <v>342</v>
      </c>
    </row>
    <row r="11" spans="1:3" ht="22.5" customHeight="1">
      <c r="A11" s="4" t="s">
        <v>42</v>
      </c>
      <c r="B11" s="198" t="s">
        <v>343</v>
      </c>
      <c r="C11" s="198" t="s">
        <v>343</v>
      </c>
    </row>
    <row r="12" spans="1:3" ht="22.5" customHeight="1">
      <c r="A12" s="4" t="s">
        <v>244</v>
      </c>
      <c r="B12" s="198"/>
      <c r="C12" s="198"/>
    </row>
    <row r="13" spans="1:3" ht="22.5" customHeight="1">
      <c r="A13" s="4" t="s">
        <v>43</v>
      </c>
      <c r="B13" s="198"/>
      <c r="C13" s="198"/>
    </row>
    <row r="14" spans="1:3" ht="15.75" customHeight="1">
      <c r="A14" s="4" t="s">
        <v>44</v>
      </c>
      <c r="B14" s="19">
        <v>24</v>
      </c>
      <c r="C14" s="19">
        <v>24</v>
      </c>
    </row>
    <row r="15" spans="1:3" ht="15.75" customHeight="1">
      <c r="A15" s="4" t="s">
        <v>45</v>
      </c>
      <c r="B15" s="20">
        <v>1.3</v>
      </c>
      <c r="C15" s="20">
        <v>1.3</v>
      </c>
    </row>
    <row r="16" spans="1:3" ht="15.75" customHeight="1">
      <c r="A16" s="4" t="s">
        <v>46</v>
      </c>
      <c r="B16" s="27">
        <f>B14/B15</f>
        <v>18.46153846153846</v>
      </c>
      <c r="C16" s="27">
        <f>C14/C15</f>
        <v>18.46153846153846</v>
      </c>
    </row>
    <row r="17" spans="1:3" ht="15.75" customHeight="1">
      <c r="A17" s="4" t="s">
        <v>47</v>
      </c>
      <c r="B17" s="18">
        <f>345*1.2</f>
        <v>414</v>
      </c>
      <c r="C17" s="18">
        <f>345*1.2</f>
        <v>414</v>
      </c>
    </row>
    <row r="18" spans="1:3" ht="15.75" customHeight="1">
      <c r="A18" s="4" t="s">
        <v>48</v>
      </c>
      <c r="B18" s="20">
        <v>1</v>
      </c>
      <c r="C18" s="20">
        <v>1</v>
      </c>
    </row>
    <row r="19" spans="1:3" ht="15.75" customHeight="1">
      <c r="A19" s="4" t="s">
        <v>49</v>
      </c>
      <c r="B19" s="28">
        <f>B17/B18</f>
        <v>414</v>
      </c>
      <c r="C19" s="28">
        <f>C17/C18</f>
        <v>414</v>
      </c>
    </row>
    <row r="20" spans="1:3" ht="15.75" customHeight="1">
      <c r="A20" s="4" t="s">
        <v>50</v>
      </c>
      <c r="B20" s="72">
        <v>11011</v>
      </c>
      <c r="C20" s="72">
        <v>11011</v>
      </c>
    </row>
    <row r="21" spans="1:3" ht="15.75" customHeight="1">
      <c r="A21" s="4" t="s">
        <v>54</v>
      </c>
      <c r="B21" s="19">
        <v>8692</v>
      </c>
      <c r="C21" s="19">
        <v>8963.4</v>
      </c>
    </row>
    <row r="22" spans="1:3" ht="15.75" hidden="1" customHeight="1" outlineLevel="1">
      <c r="A22" s="4" t="s">
        <v>53</v>
      </c>
      <c r="B22" s="34">
        <v>18156.55078125</v>
      </c>
      <c r="C22" s="34">
        <v>18156.55078125</v>
      </c>
    </row>
    <row r="23" spans="1:3" ht="15.75" hidden="1" customHeight="1" outlineLevel="1">
      <c r="A23" s="4" t="s">
        <v>52</v>
      </c>
      <c r="B23" s="32">
        <f>B31*B21/B22</f>
        <v>0.47872528789862989</v>
      </c>
      <c r="C23" s="32">
        <f>C31*C21/C22</f>
        <v>0.49367306092390462</v>
      </c>
    </row>
    <row r="24" spans="1:3" ht="15.75" hidden="1" customHeight="1" outlineLevel="1">
      <c r="A24" s="4" t="s">
        <v>55</v>
      </c>
      <c r="B24" s="29" t="str">
        <f>IF(B23&lt;1,"OK","NG")</f>
        <v>OK</v>
      </c>
      <c r="C24" s="29" t="str">
        <f>IF(C23&lt;1,"OK","NG")</f>
        <v>OK</v>
      </c>
    </row>
    <row r="25" spans="1:3" ht="15.75" customHeight="1" collapsed="1">
      <c r="A25" s="4" t="s">
        <v>56</v>
      </c>
      <c r="B25" s="141">
        <v>3.5000001080334187E-3</v>
      </c>
      <c r="C25" s="141">
        <v>3.5000001080334187E-3</v>
      </c>
    </row>
    <row r="26" spans="1:3" ht="15.75" customHeight="1">
      <c r="A26" s="4" t="s">
        <v>229</v>
      </c>
      <c r="B26" s="141">
        <v>3.3101153094321489E-3</v>
      </c>
      <c r="C26" s="141">
        <v>3.2650702632963657E-3</v>
      </c>
    </row>
    <row r="27" spans="1:3" ht="15.75" customHeight="1">
      <c r="A27" s="4" t="s">
        <v>57</v>
      </c>
      <c r="B27" s="34">
        <v>730.08782958984375</v>
      </c>
      <c r="C27" s="34">
        <v>734.9490966796875</v>
      </c>
    </row>
    <row r="28" spans="1:3" ht="15.75" customHeight="1">
      <c r="A28" s="4" t="s">
        <v>58</v>
      </c>
      <c r="B28" s="34">
        <v>20085.83984375</v>
      </c>
      <c r="C28" s="34">
        <v>20100.73046875</v>
      </c>
    </row>
    <row r="29" spans="1:3" ht="15.75" customHeight="1">
      <c r="A29" s="4" t="s">
        <v>59</v>
      </c>
      <c r="B29" s="62">
        <v>1</v>
      </c>
      <c r="C29" s="62">
        <v>1</v>
      </c>
    </row>
    <row r="30" spans="1:3" ht="15.75" customHeight="1">
      <c r="A30" s="4" t="s">
        <v>60</v>
      </c>
      <c r="B30" s="77">
        <f>B28/B29</f>
        <v>20085.83984375</v>
      </c>
      <c r="C30" s="77">
        <f>C28/C29</f>
        <v>20100.73046875</v>
      </c>
    </row>
    <row r="31" spans="1:3" ht="15.75" customHeight="1">
      <c r="A31" s="4" t="s">
        <v>61</v>
      </c>
      <c r="B31" s="62">
        <v>1</v>
      </c>
      <c r="C31" s="62">
        <v>1</v>
      </c>
    </row>
    <row r="32" spans="1:3" ht="15.75" customHeight="1">
      <c r="A32" s="4" t="s">
        <v>62</v>
      </c>
      <c r="B32" s="32">
        <f>B31*B20/B30</f>
        <v>0.54819714214868798</v>
      </c>
      <c r="C32" s="32">
        <f>C31*C20/C30</f>
        <v>0.54779103760027381</v>
      </c>
    </row>
    <row r="33" spans="1:3" ht="15.75" customHeight="1">
      <c r="A33" s="5" t="s">
        <v>63</v>
      </c>
      <c r="B33" s="31" t="str">
        <f>IF(B32&lt;1,"OK","NG")</f>
        <v>OK</v>
      </c>
      <c r="C33" s="31" t="str">
        <f>IF(C32&lt;1,"OK","NG")</f>
        <v>OK</v>
      </c>
    </row>
  </sheetData>
  <phoneticPr fontId="2"/>
  <dataValidations count="2">
    <dataValidation type="list" showInputMessage="1" showErrorMessage="1" sqref="B5:C5" xr:uid="{00000000-0002-0000-0200-000000000000}">
      <formula1>"矩形,円形,Ｔ形,逆T形,小判形"</formula1>
    </dataValidation>
    <dataValidation type="decimal" operator="greaterThanOrEqual" allowBlank="1" showInputMessage="1" showErrorMessage="1" sqref="B20:C20" xr:uid="{00000000-0002-0000-0200-00000100000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6"/>
  <dimension ref="A1:B58"/>
  <sheetViews>
    <sheetView showGridLines="0" view="pageBreakPreview" zoomScale="115" zoomScaleNormal="115" zoomScaleSheetLayoutView="115" workbookViewId="0">
      <selection activeCell="G18" sqref="G18"/>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117</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330</v>
      </c>
    </row>
    <row r="11" spans="1:2" ht="12.75" customHeight="1">
      <c r="A11" s="12" t="s">
        <v>42</v>
      </c>
      <c r="B11" s="146">
        <v>90</v>
      </c>
    </row>
    <row r="12" spans="1:2" ht="12.75" customHeight="1">
      <c r="A12" s="10" t="s">
        <v>244</v>
      </c>
      <c r="B12" s="42" t="s">
        <v>334</v>
      </c>
    </row>
    <row r="13" spans="1:2" ht="12.75" customHeight="1">
      <c r="A13" s="12" t="s">
        <v>43</v>
      </c>
      <c r="B13" s="44">
        <v>233.3</v>
      </c>
    </row>
    <row r="14" spans="1:2" ht="12.75" customHeight="1">
      <c r="A14" s="12" t="s">
        <v>104</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118</v>
      </c>
      <c r="B21" s="78"/>
    </row>
    <row r="22" spans="1:2" ht="12.75" customHeight="1">
      <c r="A22" s="12" t="s">
        <v>119</v>
      </c>
      <c r="B22" s="79"/>
    </row>
    <row r="23" spans="1:2" ht="12.75" customHeight="1">
      <c r="A23" s="9" t="s">
        <v>120</v>
      </c>
      <c r="B23" s="72">
        <v>183.8</v>
      </c>
    </row>
    <row r="24" spans="1:2" ht="12.75" customHeight="1">
      <c r="A24" s="9" t="s">
        <v>112</v>
      </c>
      <c r="B24" s="19">
        <v>139</v>
      </c>
    </row>
    <row r="25" spans="1:2" ht="12.75" customHeight="1">
      <c r="A25" s="9" t="s">
        <v>113</v>
      </c>
      <c r="B25" s="72">
        <v>360.2</v>
      </c>
    </row>
    <row r="26" spans="1:2" ht="12.75" customHeight="1">
      <c r="A26" s="10" t="s">
        <v>56</v>
      </c>
      <c r="B26" s="142">
        <v>3.5000001080334187E-3</v>
      </c>
    </row>
    <row r="27" spans="1:2" ht="12.75" customHeight="1">
      <c r="A27" s="11" t="s">
        <v>121</v>
      </c>
      <c r="B27" s="143">
        <v>1.1495993472635746E-2</v>
      </c>
    </row>
    <row r="28" spans="1:2" ht="12.75" customHeight="1">
      <c r="A28" s="11" t="s">
        <v>122</v>
      </c>
      <c r="B28" s="58">
        <v>193.01821899414063</v>
      </c>
    </row>
    <row r="29" spans="1:2" ht="12.75" customHeight="1">
      <c r="A29" s="12" t="s">
        <v>123</v>
      </c>
      <c r="B29" s="57">
        <v>1002.72998046875</v>
      </c>
    </row>
    <row r="30" spans="1:2" ht="12.75" customHeight="1">
      <c r="A30" s="10" t="s">
        <v>105</v>
      </c>
      <c r="B30" s="68">
        <v>794.4</v>
      </c>
    </row>
    <row r="31" spans="1:2" ht="12.75" customHeight="1">
      <c r="A31" s="11" t="s">
        <v>106</v>
      </c>
      <c r="B31" s="70"/>
    </row>
    <row r="32" spans="1:2" ht="12.75" customHeight="1">
      <c r="A32" s="11" t="s">
        <v>107</v>
      </c>
      <c r="B32" s="70">
        <v>345</v>
      </c>
    </row>
    <row r="33" spans="1:2" ht="12.75" customHeight="1">
      <c r="A33" s="12" t="s">
        <v>108</v>
      </c>
      <c r="B33" s="69"/>
    </row>
    <row r="34" spans="1:2" ht="12.75" customHeight="1">
      <c r="A34" s="10" t="s">
        <v>109</v>
      </c>
      <c r="B34" s="68">
        <v>90</v>
      </c>
    </row>
    <row r="35" spans="1:2" ht="12.75" customHeight="1">
      <c r="A35" s="11" t="s">
        <v>159</v>
      </c>
      <c r="B35" s="70"/>
    </row>
    <row r="36" spans="1:2" ht="12.75" customHeight="1">
      <c r="A36" s="11" t="s">
        <v>110</v>
      </c>
      <c r="B36" s="70">
        <v>125</v>
      </c>
    </row>
    <row r="37" spans="1:2" ht="12.75" customHeight="1">
      <c r="A37" s="11" t="s">
        <v>111</v>
      </c>
      <c r="B37" s="70"/>
    </row>
    <row r="38" spans="1:2" ht="12.75" customHeight="1">
      <c r="A38" s="12" t="s">
        <v>124</v>
      </c>
      <c r="B38" s="59">
        <f>MIN(0.2*(B17)^(1/3),0.72)</f>
        <v>0.528590425204984</v>
      </c>
    </row>
    <row r="39" spans="1:2" ht="12.75" customHeight="1">
      <c r="A39" s="10" t="s">
        <v>114</v>
      </c>
      <c r="B39" s="49">
        <f>MIN((1000/dc(B5,B6,B9,B10,B11))^(1/4),1.5)</f>
        <v>1.0486332462152452</v>
      </c>
    </row>
    <row r="40" spans="1:2" ht="12.75" customHeight="1">
      <c r="A40" s="11" t="s">
        <v>115</v>
      </c>
      <c r="B40" s="51">
        <f>Ass(B5,B6,B9,B10)/(B9*dc(B5,B6,B9,B10,B11))</f>
        <v>3.5199418903982768E-3</v>
      </c>
    </row>
    <row r="41" spans="1:2" ht="12.75" customHeight="1">
      <c r="A41" s="11" t="s">
        <v>116</v>
      </c>
      <c r="B41" s="50">
        <f>MIN((100*B40)^(1/3),1.5)</f>
        <v>0.70606578168141332</v>
      </c>
    </row>
    <row r="42" spans="1:2" ht="12.75" customHeight="1">
      <c r="A42" s="12" t="s">
        <v>125</v>
      </c>
      <c r="B42" s="60">
        <f>B24*hc(B5,B6,B9)/6000</f>
        <v>21.243833333333335</v>
      </c>
    </row>
    <row r="43" spans="1:2" ht="12.75" customHeight="1">
      <c r="A43" s="11" t="s">
        <v>126</v>
      </c>
      <c r="B43" s="80">
        <f>IF(B24&gt;=0,MIN(1+2*B42/B29,2),MAX(1+4*B42/B29,0))</f>
        <v>1.0423719919562042</v>
      </c>
    </row>
    <row r="44" spans="1:2" ht="12.75" customHeight="1">
      <c r="A44" s="11" t="s">
        <v>127</v>
      </c>
      <c r="B44" s="73">
        <v>1.3</v>
      </c>
    </row>
    <row r="45" spans="1:2" ht="12.75" customHeight="1">
      <c r="A45" s="12" t="s">
        <v>128</v>
      </c>
      <c r="B45" s="75">
        <f>B39*B41*B43*B38*bc(B5,B6,B9)*dc(B5,B6,B9,B10,B11)/B44/1000</f>
        <v>259.52127740279229</v>
      </c>
    </row>
    <row r="46" spans="1:2" ht="12.75" customHeight="1">
      <c r="A46" s="10" t="s">
        <v>91</v>
      </c>
      <c r="B46" s="81">
        <v>1.1000000000000001</v>
      </c>
    </row>
    <row r="47" spans="1:2" ht="12.75" customHeight="1">
      <c r="A47" s="11" t="s">
        <v>129</v>
      </c>
      <c r="B47" s="74">
        <f>(IF(B36=0,0,B30*B32*(SIN(RADIANS(B34))+COS(RADIANS(B34)))/B36)+IF(B37=0,0,B31*B33*(SIN(RADIANS(B35))+COS(RADIANS(B35)))/B37))*(dc(B5,B6,B9,B10,B11)/1.15)/B46/1000</f>
        <v>1433.3864727272726</v>
      </c>
    </row>
    <row r="48" spans="1:2" ht="12.75" customHeight="1">
      <c r="A48" s="11" t="s">
        <v>130</v>
      </c>
      <c r="B48" s="74"/>
    </row>
    <row r="49" spans="1:2" ht="12.75" customHeight="1">
      <c r="A49" s="11" t="s">
        <v>340</v>
      </c>
      <c r="B49" s="74">
        <f>B45+B47</f>
        <v>1692.9077501300649</v>
      </c>
    </row>
    <row r="50" spans="1:2" ht="12.75" customHeight="1">
      <c r="A50" s="11" t="s">
        <v>131</v>
      </c>
      <c r="B50" s="73">
        <v>1.2</v>
      </c>
    </row>
    <row r="51" spans="1:2" ht="12.75" customHeight="1">
      <c r="A51" s="12" t="s">
        <v>132</v>
      </c>
      <c r="B51" s="82">
        <f>B50*B25/B49</f>
        <v>0.25532401276253314</v>
      </c>
    </row>
    <row r="52" spans="1:2" ht="12.75" customHeight="1">
      <c r="A52" s="10" t="s">
        <v>55</v>
      </c>
      <c r="B52" s="28" t="str">
        <f>IF(B51&lt;1,"OK","NG")</f>
        <v>OK</v>
      </c>
    </row>
    <row r="53" spans="1:2" ht="12.75" customHeight="1">
      <c r="A53" s="10" t="s">
        <v>133</v>
      </c>
      <c r="B53" s="83">
        <f>MIN(1.25*(B17)^(1/2),7.8)</f>
        <v>5.3708615552957459</v>
      </c>
    </row>
    <row r="54" spans="1:2" ht="12.75" customHeight="1">
      <c r="A54" s="11" t="s">
        <v>134</v>
      </c>
      <c r="B54" s="73">
        <v>1.3</v>
      </c>
    </row>
    <row r="55" spans="1:2" ht="12.75" customHeight="1">
      <c r="A55" s="11" t="s">
        <v>135</v>
      </c>
      <c r="B55" s="74">
        <f>B53*bc(B5,B6,B9)*dc(B5,B6,B9,B10,B11)/B54/1000</f>
        <v>3416.6942355612173</v>
      </c>
    </row>
    <row r="56" spans="1:2" ht="12.75" customHeight="1">
      <c r="A56" s="11" t="s">
        <v>131</v>
      </c>
      <c r="B56" s="73">
        <v>1.2</v>
      </c>
    </row>
    <row r="57" spans="1:2" ht="12.75" customHeight="1">
      <c r="A57" s="11" t="s">
        <v>136</v>
      </c>
      <c r="B57" s="82">
        <f>B56*B25/B55</f>
        <v>0.12650824750462381</v>
      </c>
    </row>
    <row r="58" spans="1:2" ht="12.75" customHeight="1">
      <c r="A58" s="13" t="s">
        <v>137</v>
      </c>
      <c r="B58" s="31" t="str">
        <f>IF(B57&lt;1,"OK","NG")</f>
        <v>OK</v>
      </c>
    </row>
  </sheetData>
  <phoneticPr fontId="2"/>
  <dataValidations count="2">
    <dataValidation type="list" showInputMessage="1" showErrorMessage="1" sqref="B5" xr:uid="{00000000-0002-0000-0300-000000000000}">
      <formula1>"矩形,円形,Ｔ形,逆T形,小判形"</formula1>
    </dataValidation>
    <dataValidation type="decimal" operator="greaterThanOrEqual" allowBlank="1" showInputMessage="1" showErrorMessage="1" sqref="B23" xr:uid="{00000000-0002-0000-0300-00000100000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1"/>
  <dimension ref="A2:C47"/>
  <sheetViews>
    <sheetView tabSelected="1" view="pageBreakPreview" zoomScaleNormal="100" zoomScaleSheetLayoutView="100" workbookViewId="0">
      <selection activeCell="C19" sqref="C19"/>
    </sheetView>
  </sheetViews>
  <sheetFormatPr defaultColWidth="13.875" defaultRowHeight="15.75" customHeight="1"/>
  <cols>
    <col min="1" max="1" width="16.625" style="26" bestFit="1" customWidth="1"/>
    <col min="2" max="3" width="12.75" style="21" customWidth="1"/>
    <col min="4" max="16384" width="13.875" style="21"/>
  </cols>
  <sheetData>
    <row r="2" spans="1:3" ht="15.75" customHeight="1">
      <c r="A2" s="22" t="s">
        <v>228</v>
      </c>
    </row>
    <row r="3" spans="1:3" ht="15.75" customHeight="1">
      <c r="A3" s="23" t="s">
        <v>0</v>
      </c>
      <c r="B3" s="64" t="s">
        <v>223</v>
      </c>
      <c r="C3" s="64"/>
    </row>
    <row r="4" spans="1:3" ht="15.75" customHeight="1">
      <c r="A4" s="24" t="s">
        <v>1</v>
      </c>
      <c r="B4" s="63" t="s">
        <v>224</v>
      </c>
      <c r="C4" s="63"/>
    </row>
    <row r="5" spans="1:3" ht="15.75" customHeight="1">
      <c r="A5" s="24" t="s">
        <v>2</v>
      </c>
      <c r="B5" s="18" t="s">
        <v>245</v>
      </c>
      <c r="C5" s="18"/>
    </row>
    <row r="6" spans="1:3" ht="15.75" customHeight="1">
      <c r="A6" s="24" t="s">
        <v>243</v>
      </c>
      <c r="B6" s="18">
        <v>1500</v>
      </c>
      <c r="C6" s="18"/>
    </row>
    <row r="7" spans="1:3" ht="15.75" customHeight="1">
      <c r="A7" s="24" t="s">
        <v>11</v>
      </c>
      <c r="B7" s="18"/>
      <c r="C7" s="18"/>
    </row>
    <row r="8" spans="1:3" ht="15.75" customHeight="1">
      <c r="A8" s="24" t="s">
        <v>12</v>
      </c>
      <c r="B8" s="18"/>
      <c r="C8" s="18"/>
    </row>
    <row r="9" spans="1:3" ht="15.75" customHeight="1">
      <c r="A9" s="24" t="s">
        <v>13</v>
      </c>
      <c r="B9" s="18">
        <v>900</v>
      </c>
      <c r="C9" s="18"/>
    </row>
    <row r="10" spans="1:3" ht="15.75" customHeight="1">
      <c r="A10" s="24" t="s">
        <v>14</v>
      </c>
      <c r="B10" s="144" t="s">
        <v>383</v>
      </c>
      <c r="C10" s="144"/>
    </row>
    <row r="11" spans="1:3" ht="15.75" customHeight="1">
      <c r="A11" s="24" t="s">
        <v>3</v>
      </c>
      <c r="B11" s="144">
        <v>81.099999999999994</v>
      </c>
      <c r="C11" s="144"/>
    </row>
    <row r="12" spans="1:3" ht="15.75" customHeight="1">
      <c r="A12" s="11" t="s">
        <v>244</v>
      </c>
      <c r="B12" s="18"/>
      <c r="C12" s="18"/>
    </row>
    <row r="13" spans="1:3" ht="15.75" customHeight="1">
      <c r="A13" s="24" t="s">
        <v>4</v>
      </c>
      <c r="B13" s="18"/>
      <c r="C13" s="18"/>
    </row>
    <row r="14" spans="1:3" ht="15.75" customHeight="1">
      <c r="A14" s="24" t="s">
        <v>15</v>
      </c>
      <c r="B14" s="19">
        <v>30</v>
      </c>
      <c r="C14" s="19"/>
    </row>
    <row r="15" spans="1:3" ht="15.75" customHeight="1">
      <c r="A15" s="24" t="s">
        <v>7</v>
      </c>
      <c r="B15" s="20">
        <v>1</v>
      </c>
      <c r="C15" s="20"/>
    </row>
    <row r="16" spans="1:3" ht="15.75" customHeight="1">
      <c r="A16" s="24" t="s">
        <v>16</v>
      </c>
      <c r="B16" s="27">
        <f>B14/B15</f>
        <v>30</v>
      </c>
      <c r="C16" s="27"/>
    </row>
    <row r="17" spans="1:3" ht="15.75" customHeight="1">
      <c r="A17" s="24" t="s">
        <v>17</v>
      </c>
      <c r="B17" s="18">
        <v>345</v>
      </c>
      <c r="C17" s="18"/>
    </row>
    <row r="18" spans="1:3" ht="15.75" customHeight="1">
      <c r="A18" s="24" t="s">
        <v>8</v>
      </c>
      <c r="B18" s="20">
        <v>1</v>
      </c>
      <c r="C18" s="20"/>
    </row>
    <row r="19" spans="1:3" ht="15.75" customHeight="1">
      <c r="A19" s="24" t="s">
        <v>18</v>
      </c>
      <c r="B19" s="28">
        <f>B17/B18</f>
        <v>345</v>
      </c>
      <c r="C19" s="28"/>
    </row>
    <row r="20" spans="1:3" ht="15.75" customHeight="1">
      <c r="A20" s="24" t="s">
        <v>5</v>
      </c>
      <c r="B20" s="63" t="s">
        <v>226</v>
      </c>
      <c r="C20" s="63"/>
    </row>
    <row r="21" spans="1:3" ht="15.75" customHeight="1">
      <c r="A21" s="24" t="s">
        <v>19</v>
      </c>
      <c r="B21" s="19">
        <v>338.7</v>
      </c>
      <c r="C21" s="19"/>
    </row>
    <row r="22" spans="1:3" ht="15.75" customHeight="1">
      <c r="A22" s="24" t="s">
        <v>20</v>
      </c>
      <c r="B22" s="19">
        <v>-46.6</v>
      </c>
      <c r="C22" s="19"/>
    </row>
    <row r="23" spans="1:3" ht="15.75" customHeight="1">
      <c r="A23" s="24" t="s">
        <v>100</v>
      </c>
      <c r="B23" s="72">
        <f>dc(B5,B6,B9,B10,B11)</f>
        <v>1418.9000244140625</v>
      </c>
      <c r="C23" s="72"/>
    </row>
    <row r="24" spans="1:3" ht="15.75" customHeight="1">
      <c r="A24" s="24" t="s">
        <v>21</v>
      </c>
      <c r="B24" s="33">
        <v>1.0380741357803345</v>
      </c>
      <c r="C24" s="33"/>
    </row>
    <row r="25" spans="1:3" ht="15.75" customHeight="1">
      <c r="A25" s="24" t="s">
        <v>22</v>
      </c>
      <c r="B25" s="29">
        <f>GetLinearZ(B16,B6/1000,{"",24,27,30,40,50,60,80},{0.25,3.9,4.1,4.4,5.2,5.8,6.5,7.6},{0.5,2.9,3.1,3.3,3.9,4.5,5,5.9},{1,2.2,2.4,2.6,3.1,3.5,4,4.7},{2,1.8,1.9,2.1,2.5,2.9,3.2,3.9})</f>
        <v>2.35</v>
      </c>
      <c r="C25" s="29"/>
    </row>
    <row r="26" spans="1:3" ht="15.75" customHeight="1">
      <c r="A26" s="24" t="s">
        <v>23</v>
      </c>
      <c r="B26" s="29" t="str">
        <f>IF(B24&lt;B25,"σct≦σbl","σct＞σbl")</f>
        <v>σct≦σbl</v>
      </c>
      <c r="C26" s="29"/>
    </row>
    <row r="27" spans="1:3" ht="15.75" customHeight="1">
      <c r="A27" s="24" t="s">
        <v>24</v>
      </c>
      <c r="B27" s="19">
        <v>169.3</v>
      </c>
      <c r="C27" s="19"/>
    </row>
    <row r="28" spans="1:3" ht="15.75" customHeight="1">
      <c r="A28" s="24" t="s">
        <v>25</v>
      </c>
      <c r="B28" s="19">
        <v>-51.9</v>
      </c>
      <c r="C28" s="19"/>
    </row>
    <row r="29" spans="1:3" ht="15.75" customHeight="1">
      <c r="A29" s="24" t="s">
        <v>26</v>
      </c>
      <c r="B29" s="33">
        <v>28.955463409423828</v>
      </c>
      <c r="C29" s="33"/>
    </row>
    <row r="30" spans="1:3" ht="15.75" customHeight="1">
      <c r="A30" s="24" t="s">
        <v>27</v>
      </c>
      <c r="B30" s="62">
        <v>140</v>
      </c>
      <c r="C30" s="62"/>
    </row>
    <row r="31" spans="1:3" ht="15.75" customHeight="1">
      <c r="A31" s="24" t="s">
        <v>28</v>
      </c>
      <c r="B31" s="30">
        <f>IF(B24&lt;B25,B29/B30,"")</f>
        <v>0.20682473863874162</v>
      </c>
      <c r="C31" s="30"/>
    </row>
    <row r="32" spans="1:3" ht="15.75" customHeight="1">
      <c r="A32" s="24" t="s">
        <v>29</v>
      </c>
      <c r="B32" s="29" t="str">
        <f>IF(B31&lt;1,"OK","")</f>
        <v>OK</v>
      </c>
      <c r="C32" s="29"/>
    </row>
    <row r="33" spans="1:3" ht="15.75" customHeight="1">
      <c r="A33" s="24" t="s">
        <v>30</v>
      </c>
      <c r="B33" s="33"/>
      <c r="C33" s="33"/>
    </row>
    <row r="34" spans="1:3" ht="15.75" customHeight="1">
      <c r="A34" s="24" t="s">
        <v>31</v>
      </c>
      <c r="B34" s="33"/>
      <c r="C34" s="33"/>
    </row>
    <row r="35" spans="1:3" ht="15.75" customHeight="1">
      <c r="A35" s="24" t="s">
        <v>101</v>
      </c>
      <c r="B35" s="63">
        <v>79</v>
      </c>
      <c r="C35" s="63"/>
    </row>
    <row r="36" spans="1:3" ht="15.75" customHeight="1">
      <c r="A36" s="24" t="s">
        <v>102</v>
      </c>
      <c r="B36" s="63">
        <v>125</v>
      </c>
      <c r="C36" s="63"/>
    </row>
    <row r="37" spans="1:3" ht="15.75" customHeight="1">
      <c r="A37" s="24" t="s">
        <v>32</v>
      </c>
      <c r="B37" s="63">
        <v>32</v>
      </c>
      <c r="C37" s="63"/>
    </row>
    <row r="38" spans="1:3" ht="15.75" customHeight="1">
      <c r="A38" s="24" t="s">
        <v>33</v>
      </c>
      <c r="B38" s="63">
        <v>300</v>
      </c>
      <c r="C38" s="63"/>
    </row>
    <row r="39" spans="1:3" ht="15.75" customHeight="1">
      <c r="A39" s="24" t="s">
        <v>9</v>
      </c>
      <c r="B39" s="67">
        <v>1</v>
      </c>
      <c r="C39" s="67"/>
    </row>
    <row r="40" spans="1:3" ht="15.75" customHeight="1">
      <c r="A40" s="24" t="s">
        <v>10</v>
      </c>
      <c r="B40" s="67">
        <v>1.0409999999999999</v>
      </c>
      <c r="C40" s="67"/>
    </row>
    <row r="41" spans="1:3" ht="15.75" customHeight="1">
      <c r="A41" s="24" t="s">
        <v>103</v>
      </c>
      <c r="B41" s="63">
        <v>1</v>
      </c>
      <c r="C41" s="63"/>
    </row>
    <row r="42" spans="1:3" ht="15.75" customHeight="1">
      <c r="A42" s="24" t="s">
        <v>34</v>
      </c>
      <c r="B42" s="67">
        <v>1</v>
      </c>
      <c r="C42" s="67"/>
    </row>
    <row r="43" spans="1:3" ht="15.75" customHeight="1">
      <c r="A43" s="24" t="s">
        <v>35</v>
      </c>
      <c r="B43" s="62">
        <v>0.85</v>
      </c>
      <c r="C43" s="62"/>
    </row>
    <row r="44" spans="1:3" ht="15.75" customHeight="1">
      <c r="A44" s="24" t="s">
        <v>36</v>
      </c>
      <c r="B44" s="30" t="str">
        <f>IF(B32="OK","",1.1*B39*B40*B42*B43*(4*B35+0.7*(B36-B37))*((B34/200000)+(B38/1000000)))</f>
        <v/>
      </c>
      <c r="C44" s="30"/>
    </row>
    <row r="45" spans="1:3" ht="15.75" customHeight="1">
      <c r="A45" s="24" t="s">
        <v>37</v>
      </c>
      <c r="B45" s="67">
        <v>0.39500000000000002</v>
      </c>
      <c r="C45" s="67"/>
    </row>
    <row r="46" spans="1:3" ht="15.75" customHeight="1">
      <c r="A46" s="24" t="s">
        <v>227</v>
      </c>
      <c r="B46" s="30" t="str">
        <f>IF(B32="OK","",B44/B45)</f>
        <v/>
      </c>
      <c r="C46" s="30"/>
    </row>
    <row r="47" spans="1:3" ht="15.75" customHeight="1">
      <c r="A47" s="25" t="s">
        <v>6</v>
      </c>
      <c r="B47" s="31" t="str">
        <f>IF(B32="OK","",IF(B46&lt;1,"OK","NG"))</f>
        <v/>
      </c>
      <c r="C47" s="31"/>
    </row>
  </sheetData>
  <phoneticPr fontId="2"/>
  <dataValidations count="3">
    <dataValidation type="list" showInputMessage="1" showErrorMessage="1" sqref="B5:C5" xr:uid="{00000000-0002-0000-0400-000000000000}">
      <formula1>"矩形,円形,Ｔ形,逆T形,小判形"</formula1>
    </dataValidation>
    <dataValidation type="list" allowBlank="1" showInputMessage="1" showErrorMessage="1" sqref="B20:C20" xr:uid="{00000000-0002-0000-0400-000001000000}">
      <formula1>"一般の環境,腐食性環境,厳しい腐食性"</formula1>
    </dataValidation>
    <dataValidation type="decimal" operator="greaterThanOrEqual" allowBlank="1" showInputMessage="1" showErrorMessage="1" sqref="B21:C21" xr:uid="{00000000-0002-0000-0400-00000200000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
  <dimension ref="A1:C58"/>
  <sheetViews>
    <sheetView showGridLines="0" view="pageBreakPreview" zoomScaleNormal="85" zoomScaleSheetLayoutView="100" workbookViewId="0">
      <selection activeCell="D33" sqref="D33"/>
    </sheetView>
  </sheetViews>
  <sheetFormatPr defaultColWidth="13.875" defaultRowHeight="12.75" customHeight="1"/>
  <cols>
    <col min="1" max="1" width="16.625" style="6" bestFit="1" customWidth="1"/>
    <col min="2" max="3" width="12.75" style="7" customWidth="1"/>
    <col min="4" max="16384" width="13.875" style="7"/>
  </cols>
  <sheetData>
    <row r="1" spans="1:3" ht="15.75" customHeight="1"/>
    <row r="2" spans="1:3" ht="12.75" customHeight="1">
      <c r="A2" s="7" t="s">
        <v>65</v>
      </c>
    </row>
    <row r="3" spans="1:3" ht="12.75" customHeight="1">
      <c r="A3" s="8" t="s">
        <v>0</v>
      </c>
      <c r="B3" s="64" t="s">
        <v>241</v>
      </c>
      <c r="C3" s="64" t="s">
        <v>241</v>
      </c>
    </row>
    <row r="4" spans="1:3" ht="12.75" customHeight="1">
      <c r="A4" s="9" t="s">
        <v>1</v>
      </c>
      <c r="B4" s="63" t="s">
        <v>242</v>
      </c>
      <c r="C4" s="63" t="s">
        <v>242</v>
      </c>
    </row>
    <row r="5" spans="1:3" ht="12.75" customHeight="1">
      <c r="A5" s="9" t="s">
        <v>2</v>
      </c>
      <c r="B5" s="18" t="s">
        <v>225</v>
      </c>
      <c r="C5" s="18" t="s">
        <v>225</v>
      </c>
    </row>
    <row r="6" spans="1:3" ht="12.75" customHeight="1">
      <c r="A6" s="9" t="s">
        <v>243</v>
      </c>
      <c r="B6" s="18">
        <v>917</v>
      </c>
      <c r="C6" s="18">
        <v>917</v>
      </c>
    </row>
    <row r="7" spans="1:3" ht="12.75" customHeight="1">
      <c r="A7" s="9" t="s">
        <v>38</v>
      </c>
      <c r="B7" s="18"/>
      <c r="C7" s="18"/>
    </row>
    <row r="8" spans="1:3" ht="12.75" customHeight="1">
      <c r="A8" s="9" t="s">
        <v>39</v>
      </c>
      <c r="B8" s="18"/>
      <c r="C8" s="18"/>
    </row>
    <row r="9" spans="1:3" ht="12.75" customHeight="1">
      <c r="A9" s="9" t="s">
        <v>40</v>
      </c>
      <c r="B9" s="18">
        <v>1000</v>
      </c>
      <c r="C9" s="18">
        <v>1000</v>
      </c>
    </row>
    <row r="10" spans="1:3" ht="12.75" customHeight="1">
      <c r="A10" s="10" t="s">
        <v>41</v>
      </c>
      <c r="B10" s="145" t="s">
        <v>330</v>
      </c>
      <c r="C10" s="145" t="s">
        <v>330</v>
      </c>
    </row>
    <row r="11" spans="1:3" ht="12.75" customHeight="1">
      <c r="A11" s="11" t="s">
        <v>42</v>
      </c>
      <c r="B11" s="146">
        <v>90</v>
      </c>
      <c r="C11" s="146">
        <v>90</v>
      </c>
    </row>
    <row r="12" spans="1:3" ht="12.75" customHeight="1">
      <c r="A12" s="11" t="s">
        <v>244</v>
      </c>
      <c r="B12" s="43"/>
      <c r="C12" s="43"/>
    </row>
    <row r="13" spans="1:3" ht="12.75" customHeight="1">
      <c r="A13" s="11" t="s">
        <v>43</v>
      </c>
      <c r="B13" s="43"/>
      <c r="C13" s="43"/>
    </row>
    <row r="14" spans="1:3" ht="12.75" customHeight="1">
      <c r="A14" s="12" t="s">
        <v>66</v>
      </c>
      <c r="B14" s="44"/>
      <c r="C14" s="44"/>
    </row>
    <row r="15" spans="1:3" ht="12.75" customHeight="1">
      <c r="A15" s="10" t="s">
        <v>44</v>
      </c>
      <c r="B15" s="45">
        <v>24</v>
      </c>
      <c r="C15" s="45">
        <v>24</v>
      </c>
    </row>
    <row r="16" spans="1:3" ht="12.75" customHeight="1">
      <c r="A16" s="11" t="s">
        <v>45</v>
      </c>
      <c r="B16" s="46">
        <v>1</v>
      </c>
      <c r="C16" s="46">
        <v>1</v>
      </c>
    </row>
    <row r="17" spans="1:3" ht="12.75" customHeight="1">
      <c r="A17" s="11" t="s">
        <v>46</v>
      </c>
      <c r="B17" s="47">
        <f>B15/B16</f>
        <v>24</v>
      </c>
      <c r="C17" s="47">
        <f>C15/C16</f>
        <v>24</v>
      </c>
    </row>
    <row r="18" spans="1:3" ht="12.75" customHeight="1">
      <c r="A18" s="11" t="s">
        <v>47</v>
      </c>
      <c r="B18" s="43">
        <v>345</v>
      </c>
      <c r="C18" s="43">
        <v>345</v>
      </c>
    </row>
    <row r="19" spans="1:3" ht="12.75" customHeight="1">
      <c r="A19" s="11" t="s">
        <v>48</v>
      </c>
      <c r="B19" s="46">
        <v>1</v>
      </c>
      <c r="C19" s="46">
        <v>1</v>
      </c>
    </row>
    <row r="20" spans="1:3" ht="12.75" customHeight="1">
      <c r="A20" s="12" t="s">
        <v>49</v>
      </c>
      <c r="B20" s="48">
        <f>B18/B19</f>
        <v>345</v>
      </c>
      <c r="C20" s="48">
        <f>C18/C19</f>
        <v>345</v>
      </c>
    </row>
    <row r="21" spans="1:3" ht="12.75" customHeight="1">
      <c r="A21" s="10" t="s">
        <v>67</v>
      </c>
      <c r="B21" s="68">
        <v>794.4</v>
      </c>
      <c r="C21" s="68">
        <v>794.4</v>
      </c>
    </row>
    <row r="22" spans="1:3" ht="12.75" customHeight="1">
      <c r="A22" s="11" t="s">
        <v>68</v>
      </c>
      <c r="B22" s="69"/>
      <c r="C22" s="69"/>
    </row>
    <row r="23" spans="1:3" ht="12.75" customHeight="1">
      <c r="A23" s="10" t="s">
        <v>69</v>
      </c>
      <c r="B23" s="68">
        <v>345</v>
      </c>
      <c r="C23" s="68">
        <v>345</v>
      </c>
    </row>
    <row r="24" spans="1:3" ht="12.75" customHeight="1">
      <c r="A24" s="12" t="s">
        <v>70</v>
      </c>
      <c r="B24" s="69"/>
      <c r="C24" s="69"/>
    </row>
    <row r="25" spans="1:3" ht="12.75" customHeight="1">
      <c r="A25" s="10" t="s">
        <v>71</v>
      </c>
      <c r="B25" s="68">
        <v>90</v>
      </c>
      <c r="C25" s="68">
        <v>90</v>
      </c>
    </row>
    <row r="26" spans="1:3" ht="12.75" customHeight="1">
      <c r="A26" s="11" t="s">
        <v>159</v>
      </c>
      <c r="B26" s="70"/>
      <c r="C26" s="70"/>
    </row>
    <row r="27" spans="1:3" ht="12.75" customHeight="1">
      <c r="A27" s="11" t="s">
        <v>72</v>
      </c>
      <c r="B27" s="70">
        <v>125</v>
      </c>
      <c r="C27" s="70">
        <v>125</v>
      </c>
    </row>
    <row r="28" spans="1:3" ht="12.75" customHeight="1">
      <c r="A28" s="12" t="s">
        <v>73</v>
      </c>
      <c r="B28" s="69"/>
      <c r="C28" s="69"/>
    </row>
    <row r="29" spans="1:3" ht="12.75" customHeight="1">
      <c r="A29" s="10" t="s">
        <v>74</v>
      </c>
      <c r="B29" s="45">
        <v>112.4</v>
      </c>
      <c r="C29" s="45">
        <v>112.4</v>
      </c>
    </row>
    <row r="30" spans="1:3" ht="12.75" customHeight="1">
      <c r="A30" s="12" t="s">
        <v>87</v>
      </c>
      <c r="B30" s="71">
        <v>305.39999999999998</v>
      </c>
      <c r="C30" s="71">
        <v>305.39999999999998</v>
      </c>
    </row>
    <row r="31" spans="1:3" ht="12.75" customHeight="1">
      <c r="A31" s="10" t="s">
        <v>75</v>
      </c>
      <c r="B31" s="45">
        <v>150</v>
      </c>
      <c r="C31" s="45">
        <v>150</v>
      </c>
    </row>
    <row r="32" spans="1:3" ht="12.75" customHeight="1">
      <c r="A32" s="12" t="s">
        <v>76</v>
      </c>
      <c r="B32" s="71">
        <v>164.2</v>
      </c>
      <c r="C32" s="71">
        <v>164.2</v>
      </c>
    </row>
    <row r="33" spans="1:3" ht="12.75" customHeight="1">
      <c r="A33" s="12" t="s">
        <v>77</v>
      </c>
      <c r="B33" s="72">
        <v>141.19999999999999</v>
      </c>
      <c r="C33" s="72">
        <v>141.19999999999999</v>
      </c>
    </row>
    <row r="34" spans="1:3" ht="12.75" customHeight="1">
      <c r="A34" s="10" t="s">
        <v>78</v>
      </c>
      <c r="B34" s="49">
        <f>MIN(0.2*(B17)^(1/3),0.72)</f>
        <v>0.57689982812296337</v>
      </c>
      <c r="C34" s="49">
        <f>MIN(0.2*(C17)^(1/3),0.72)</f>
        <v>0.57689982812296337</v>
      </c>
    </row>
    <row r="35" spans="1:3" ht="12.75" customHeight="1">
      <c r="A35" s="11" t="s">
        <v>80</v>
      </c>
      <c r="B35" s="50">
        <f>MIN((1000/dc(B5,B6,B9,B10,B11))^(1/4),1.5)</f>
        <v>1.0486332462152452</v>
      </c>
      <c r="C35" s="50">
        <f>MIN((1000/dc(C5,C6,C9,C10,C11))^(1/4),1.5)</f>
        <v>1.0486332462152452</v>
      </c>
    </row>
    <row r="36" spans="1:3" ht="12.75" customHeight="1">
      <c r="A36" s="11" t="s">
        <v>79</v>
      </c>
      <c r="B36" s="51">
        <f>Ass(B5,B6,B9,B10)/(B9*dc(B5,B6,B9,B10,B11))</f>
        <v>3.5199418903982768E-3</v>
      </c>
      <c r="C36" s="51">
        <f>Ass(C5,C6,C9,C10)/(C9*dc(C5,C6,C9,C10,C11))</f>
        <v>3.5199418903982768E-3</v>
      </c>
    </row>
    <row r="37" spans="1:3" ht="12.75" customHeight="1">
      <c r="A37" s="12" t="s">
        <v>81</v>
      </c>
      <c r="B37" s="50">
        <f>MIN((100*B36)^(1/3),1.5)</f>
        <v>0.70606578168141332</v>
      </c>
      <c r="C37" s="50">
        <f>MIN((100*C36)^(1/3),1.5)</f>
        <v>0.70606578168141332</v>
      </c>
    </row>
    <row r="38" spans="1:3" ht="12.75" customHeight="1">
      <c r="A38" s="14" t="s">
        <v>82</v>
      </c>
      <c r="B38" s="52">
        <v>850.67999267578125</v>
      </c>
      <c r="C38" s="52">
        <v>850.67999267578125</v>
      </c>
    </row>
    <row r="39" spans="1:3" ht="12.75" customHeight="1">
      <c r="A39" s="15" t="s">
        <v>83</v>
      </c>
      <c r="B39" s="53">
        <f>B29*hc(B5,B6,B9)/6000</f>
        <v>17.178466666666669</v>
      </c>
      <c r="C39" s="53">
        <f>C29*hc(C5,C6,C9)/6000</f>
        <v>17.178466666666669</v>
      </c>
    </row>
    <row r="40" spans="1:3" ht="12.75" customHeight="1">
      <c r="A40" s="16" t="s">
        <v>84</v>
      </c>
      <c r="B40" s="50">
        <f>IF(B29&gt;=0,MIN(1+2*B39/B38,2),MAX(1+4*B39/B38,0))</f>
        <v>1.0403876118271749</v>
      </c>
      <c r="C40" s="50">
        <f>IF(C29&gt;=0,MIN(1+2*C39/C38,2),MAX(1+4*C39/C38,0))</f>
        <v>1.0403876118271749</v>
      </c>
    </row>
    <row r="41" spans="1:3" ht="12.75" customHeight="1">
      <c r="A41" s="15" t="s">
        <v>85</v>
      </c>
      <c r="B41" s="73">
        <v>1</v>
      </c>
      <c r="C41" s="73">
        <v>1</v>
      </c>
    </row>
    <row r="42" spans="1:3" ht="12.75" customHeight="1">
      <c r="A42" s="17" t="s">
        <v>86</v>
      </c>
      <c r="B42" s="54">
        <f>B35*B37*B40*B34*bc(B5,B6,B9)*dc(B5,B6,B9,B10,B11)/B41/1000</f>
        <v>367.51060747542635</v>
      </c>
      <c r="C42" s="54">
        <f>C35*C37*C40*C34*bc(C5,C6,C9)*dc(C5,C6,C9,C10,C11)/C41/1000</f>
        <v>367.51060747542635</v>
      </c>
    </row>
    <row r="43" spans="1:3" ht="12.75" customHeight="1">
      <c r="A43" s="12" t="s">
        <v>232</v>
      </c>
      <c r="B43" s="56">
        <f>B30/(0.7*B42)</f>
        <v>1.187137746261886</v>
      </c>
      <c r="C43" s="56">
        <f>C30/(0.7*C42)</f>
        <v>1.187137746261886</v>
      </c>
    </row>
    <row r="44" spans="1:3" ht="12.75" customHeight="1">
      <c r="A44" s="14" t="s">
        <v>88</v>
      </c>
      <c r="B44" s="52">
        <v>865.760009765625</v>
      </c>
      <c r="C44" s="52">
        <v>865.760009765625</v>
      </c>
    </row>
    <row r="45" spans="1:3" ht="12.75" customHeight="1">
      <c r="A45" s="15" t="s">
        <v>83</v>
      </c>
      <c r="B45" s="53">
        <f>IF(B43&lt;1,"",B31*hc(B5,B6,B9)/6000)</f>
        <v>22.925000000000001</v>
      </c>
      <c r="C45" s="53">
        <f>IF(C43&lt;1,"",C31*hc(C5,C6,C9)/6000)</f>
        <v>22.925000000000001</v>
      </c>
    </row>
    <row r="46" spans="1:3" ht="12.75" customHeight="1">
      <c r="A46" s="16" t="s">
        <v>89</v>
      </c>
      <c r="B46" s="50">
        <f>IF(B43&lt;1,"",IF(B31&gt;=0,MIN(1+2*B45/B44,2),MAX(1+4*B45/B44,0)))</f>
        <v>1.0529592490792135</v>
      </c>
      <c r="C46" s="50">
        <f>IF(C43&lt;1,"",IF(C31&gt;=0,MIN(1+2*C45/C44,2),MAX(1+4*C45/C44,0)))</f>
        <v>1.0529592490792135</v>
      </c>
    </row>
    <row r="47" spans="1:3" ht="12.75" customHeight="1">
      <c r="A47" s="15" t="s">
        <v>90</v>
      </c>
      <c r="B47" s="55">
        <f>IF(B43&lt;1,"",B35*B37*B46*B34*bc(B5,B6,B9)*dc(B5,B6,B9,B10,B11)/B41/1000)</f>
        <v>371.95146200976973</v>
      </c>
      <c r="C47" s="55">
        <f>IF(C43&lt;1,"",C35*C37*C46*C34*bc(C5,C6,C9)*dc(C5,C6,C9,C10,C11)/C41/1000)</f>
        <v>371.95146200976973</v>
      </c>
    </row>
    <row r="48" spans="1:3" ht="12.75" customHeight="1">
      <c r="A48" s="11" t="s">
        <v>91</v>
      </c>
      <c r="B48" s="73">
        <v>1</v>
      </c>
      <c r="C48" s="73">
        <v>1</v>
      </c>
    </row>
    <row r="49" spans="1:3" ht="12.75" customHeight="1">
      <c r="A49" s="11" t="s">
        <v>92</v>
      </c>
      <c r="B49" s="74">
        <f>IF(B43&lt;1,"",(IF(B27=0,0,B21*B23*(SIN(RADIANS(B25))+COS(RADIANS(B25)))/B27)+IF(B28=0,0,B22*B24*(SIN(RADIANS(B26))+COS(RADIANS(B26)))/B28))*(dc(B5,B6,B9,B10,B11)/1.15)/B48/1000)</f>
        <v>1576.7251200000001</v>
      </c>
      <c r="C49" s="74">
        <f>IF(C43&lt;1,"",(IF(C27=0,0,C21*C23*(SIN(RADIANS(C25))+COS(RADIANS(C25)))/C27)+IF(C28=0,0,C22*C24*(SIN(RADIANS(C26))+COS(RADIANS(C26)))/C28))*(dc(C5,C6,C9,C10,C11)/1.15)/C48/1000)</f>
        <v>1576.7251200000001</v>
      </c>
    </row>
    <row r="50" spans="1:3" ht="12.75" customHeight="1">
      <c r="A50" s="12" t="s">
        <v>340</v>
      </c>
      <c r="B50" s="75">
        <f>IF(B43&lt;1,"",B47+B49)</f>
        <v>1948.6765820097698</v>
      </c>
      <c r="C50" s="75">
        <f>IF(C43&lt;1,"",C47+C49)</f>
        <v>1948.6765820097698</v>
      </c>
    </row>
    <row r="51" spans="1:3" ht="12.75" customHeight="1">
      <c r="A51" s="9" t="s">
        <v>93</v>
      </c>
      <c r="B51" s="73">
        <v>0.5</v>
      </c>
      <c r="C51" s="73">
        <v>0.5</v>
      </c>
    </row>
    <row r="52" spans="1:3" ht="12.75" customHeight="1">
      <c r="A52" s="9" t="s">
        <v>94</v>
      </c>
      <c r="B52" s="76">
        <f>IF(B43&lt;1,"",((B32+B33-B51*B47)*B27/(B21*(dc(B5,B6,B9,B10,B11)/1.15)*(SIN(RADIANS(B25))+COS(RADIANS(B25)))))*((B32+B47)/(B32+B33+B47))*1000)</f>
        <v>20.683742478979621</v>
      </c>
      <c r="C52" s="76">
        <f>IF(C43&lt;1,"",((C32+C33-C51*C47)*C27/(C21*(dc(C5,C6,C9,C10,C11)/1.15)*(SIN(RADIANS(C25))+COS(RADIANS(C25)))))*((C32+C47)/(C32+C33+C47))*1000)</f>
        <v>20.683742478979621</v>
      </c>
    </row>
    <row r="53" spans="1:3" ht="12.75" customHeight="1">
      <c r="A53" s="9" t="s">
        <v>95</v>
      </c>
      <c r="B53" s="76" t="str">
        <f>IF(B43&lt;1,"",IF(B22=0,"",((B32+B33-B51*B47)*B27/(B21*(dc(B5,B6,B9,B10,B11)/1.15)*(SIN(RADIANS(B25))+COS(RADIANS(B25)))))*((B32+B47)/(B32+B33+B47))*1000))</f>
        <v/>
      </c>
      <c r="C53" s="76" t="str">
        <f>IF(C43&lt;1,"",IF(C22=0,"",((C32+C33-C51*C47)*C27/(C21*(dc(C5,C6,C9,C10,C11)/1.15)*(SIN(RADIANS(C25))+COS(RADIANS(C25)))))*((C32+C47)/(C32+C33+C47))*1000))</f>
        <v/>
      </c>
    </row>
    <row r="54" spans="1:3" ht="12.75" customHeight="1">
      <c r="A54" s="9" t="s">
        <v>96</v>
      </c>
      <c r="B54" s="63" t="s">
        <v>226</v>
      </c>
      <c r="C54" s="63" t="s">
        <v>226</v>
      </c>
    </row>
    <row r="55" spans="1:3" ht="12.75" customHeight="1">
      <c r="A55" s="9" t="s">
        <v>97</v>
      </c>
      <c r="B55" s="62">
        <v>120</v>
      </c>
      <c r="C55" s="62">
        <v>120</v>
      </c>
    </row>
    <row r="56" spans="1:3" ht="12.75" customHeight="1">
      <c r="A56" s="9" t="s">
        <v>98</v>
      </c>
      <c r="B56" s="32">
        <f>IF(B43&lt;1,"",B52/B55)</f>
        <v>0.17236452065816352</v>
      </c>
      <c r="C56" s="32">
        <f>IF(C43&lt;1,"",C52/C55)</f>
        <v>0.17236452065816352</v>
      </c>
    </row>
    <row r="57" spans="1:3" ht="12.75" customHeight="1">
      <c r="A57" s="9" t="s">
        <v>99</v>
      </c>
      <c r="B57" s="32" t="str">
        <f>IF(B43&lt;1,"",IF(B53="","",B53/B55))</f>
        <v/>
      </c>
      <c r="C57" s="32" t="str">
        <f>IF(C43&lt;1,"",IF(C53="","",C53/C55))</f>
        <v/>
      </c>
    </row>
    <row r="58" spans="1:3" ht="12.75" customHeight="1">
      <c r="A58" s="13" t="s">
        <v>64</v>
      </c>
      <c r="B58" s="31" t="str">
        <f>IF(B43&lt;1,"",IF(MAX(B56:B57)&lt;1,"OK","NG"))</f>
        <v>OK</v>
      </c>
      <c r="C58" s="31" t="str">
        <f>IF(C43&lt;1,"",IF(MAX(C56:C57)&lt;1,"OK","NG"))</f>
        <v>OK</v>
      </c>
    </row>
  </sheetData>
  <phoneticPr fontId="2"/>
  <dataValidations count="2">
    <dataValidation type="list" showInputMessage="1" showErrorMessage="1" sqref="B5:C5" xr:uid="{00000000-0002-0000-0500-000000000000}">
      <formula1>"矩形,円形,Ｔ形,逆T形,小判形"</formula1>
    </dataValidation>
    <dataValidation type="list" allowBlank="1" showInputMessage="1" showErrorMessage="1" sqref="B54:C54" xr:uid="{00000000-0002-0000-0500-000001000000}">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dimension ref="A2:B40"/>
  <sheetViews>
    <sheetView view="pageBreakPreview" topLeftCell="A4"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142</v>
      </c>
    </row>
    <row r="3" spans="1:2" ht="15.75" customHeight="1">
      <c r="A3" s="37" t="s">
        <v>0</v>
      </c>
      <c r="B3" s="64" t="s">
        <v>331</v>
      </c>
    </row>
    <row r="4" spans="1:2" ht="15.75" customHeight="1">
      <c r="A4" s="38" t="s">
        <v>1</v>
      </c>
      <c r="B4" s="63" t="s">
        <v>332</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333</v>
      </c>
    </row>
    <row r="11" spans="1:2" ht="15.75" customHeight="1">
      <c r="A11" s="38" t="s">
        <v>42</v>
      </c>
      <c r="B11" s="96">
        <v>90</v>
      </c>
    </row>
    <row r="12" spans="1:2" ht="15.75" customHeight="1">
      <c r="A12" s="38" t="s">
        <v>244</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143</v>
      </c>
      <c r="B20" s="63">
        <v>490</v>
      </c>
    </row>
    <row r="21" spans="1:2" ht="15.75" customHeight="1">
      <c r="A21" s="38" t="s">
        <v>144</v>
      </c>
      <c r="B21" s="19">
        <v>173</v>
      </c>
    </row>
    <row r="22" spans="1:2" ht="15.75" customHeight="1">
      <c r="A22" s="38" t="s">
        <v>112</v>
      </c>
      <c r="B22" s="97">
        <v>67.400000000000006</v>
      </c>
    </row>
    <row r="23" spans="1:2" ht="15.75" customHeight="1">
      <c r="A23" s="38" t="s">
        <v>145</v>
      </c>
      <c r="B23" s="33">
        <v>51.914432525634766</v>
      </c>
    </row>
    <row r="24" spans="1:2" ht="15.75" customHeight="1">
      <c r="A24" s="38" t="s">
        <v>146</v>
      </c>
      <c r="B24" s="19">
        <v>177.1</v>
      </c>
    </row>
    <row r="25" spans="1:2" ht="15.75" customHeight="1">
      <c r="A25" s="38" t="s">
        <v>147</v>
      </c>
      <c r="B25" s="97">
        <v>55.5</v>
      </c>
    </row>
    <row r="26" spans="1:2" ht="15.75" customHeight="1">
      <c r="A26" s="38" t="s">
        <v>148</v>
      </c>
      <c r="B26" s="33">
        <v>55.308372497558594</v>
      </c>
    </row>
    <row r="27" spans="1:2" ht="15.75" customHeight="1">
      <c r="A27" s="38" t="s">
        <v>149</v>
      </c>
      <c r="B27" s="136">
        <f>B34*(10^(3.09-0.003*B32))/((2*10^6)^0.12)*(1-(B23/B20))/B36</f>
        <v>157.77927902227881</v>
      </c>
    </row>
    <row r="28" spans="1:2" ht="15.75" customHeight="1">
      <c r="A28" s="38" t="s">
        <v>140</v>
      </c>
      <c r="B28" s="62">
        <v>1</v>
      </c>
    </row>
    <row r="29" spans="1:2" ht="15.75" customHeight="1">
      <c r="A29" s="140" t="s">
        <v>150</v>
      </c>
      <c r="B29" s="137">
        <f>B38*B26/(B27/B28)</f>
        <v>0.3505426874827392</v>
      </c>
    </row>
    <row r="30" spans="1:2" ht="15.75" customHeight="1">
      <c r="A30" s="38" t="s">
        <v>151</v>
      </c>
      <c r="B30" s="92">
        <f>IF(B29&lt;=1,0.06,0.12)</f>
        <v>0.06</v>
      </c>
    </row>
    <row r="31" spans="1:2" ht="15.75" customHeight="1">
      <c r="A31" s="38" t="s">
        <v>152</v>
      </c>
      <c r="B31" s="63">
        <v>31900</v>
      </c>
    </row>
    <row r="32" spans="1:2" ht="15.75" customHeight="1">
      <c r="A32" s="38" t="s">
        <v>153</v>
      </c>
      <c r="B32" s="63">
        <v>22</v>
      </c>
    </row>
    <row r="33" spans="1:2" ht="15.75" customHeight="1">
      <c r="A33" s="38" t="s">
        <v>162</v>
      </c>
      <c r="B33" s="138">
        <f>IF(B29&lt;=1,2.71-0.003*B32,3.09-0.003*B32)</f>
        <v>2.6440000000000001</v>
      </c>
    </row>
    <row r="34" spans="1:2" ht="15.75" customHeight="1">
      <c r="A34" s="38" t="s">
        <v>233</v>
      </c>
      <c r="B34" s="62">
        <v>1</v>
      </c>
    </row>
    <row r="35" spans="1:2" ht="15.75" customHeight="1">
      <c r="A35" s="38" t="s">
        <v>234</v>
      </c>
      <c r="B35" s="62">
        <v>1</v>
      </c>
    </row>
    <row r="36" spans="1:2" ht="15.75" customHeight="1">
      <c r="A36" s="38" t="s">
        <v>154</v>
      </c>
      <c r="B36" s="62">
        <v>1.05</v>
      </c>
    </row>
    <row r="37" spans="1:2" ht="15.75" customHeight="1">
      <c r="A37" s="38" t="s">
        <v>155</v>
      </c>
      <c r="B37" s="139">
        <f>B34*B35*(10^B33)/(B31^B30)*(1-(B23/B20))/B36</f>
        <v>201.3474462548989</v>
      </c>
    </row>
    <row r="38" spans="1:2" ht="15.75" customHeight="1">
      <c r="A38" s="38" t="s">
        <v>141</v>
      </c>
      <c r="B38" s="62">
        <v>1</v>
      </c>
    </row>
    <row r="39" spans="1:2" ht="15.75" customHeight="1">
      <c r="A39" s="140" t="s">
        <v>156</v>
      </c>
      <c r="B39" s="94">
        <f>B38*B26/(B37/B28)</f>
        <v>0.27469120431525168</v>
      </c>
    </row>
    <row r="40" spans="1:2" ht="15.75" customHeight="1">
      <c r="A40" s="39" t="s">
        <v>63</v>
      </c>
      <c r="B40" s="95" t="str">
        <f>IF(B39&lt;1,"OK","NG")</f>
        <v>OK</v>
      </c>
    </row>
  </sheetData>
  <phoneticPr fontId="2"/>
  <dataValidations count="2">
    <dataValidation type="list" showInputMessage="1" showErrorMessage="1" sqref="B5" xr:uid="{00000000-0002-0000-0600-000000000000}">
      <formula1>"矩形,円形,Ｔ形,逆T形,小判形"</formula1>
    </dataValidation>
    <dataValidation type="decimal" operator="greaterThanOrEqual" allowBlank="1" showInputMessage="1" showErrorMessage="1" sqref="B21 B24" xr:uid="{00000000-0002-0000-0600-00000100000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8"/>
  <dimension ref="A1:B71"/>
  <sheetViews>
    <sheetView showGridLines="0" view="pageBreakPreview" zoomScale="115" zoomScaleNormal="115" zoomScaleSheetLayoutView="115" workbookViewId="0">
      <selection activeCell="D33" sqref="D33"/>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158</v>
      </c>
    </row>
    <row r="3" spans="1:2">
      <c r="A3" s="117" t="s">
        <v>0</v>
      </c>
      <c r="B3" s="65" t="s">
        <v>241</v>
      </c>
    </row>
    <row r="4" spans="1:2">
      <c r="A4" s="118" t="s">
        <v>1</v>
      </c>
      <c r="B4" s="66" t="s">
        <v>242</v>
      </c>
    </row>
    <row r="5" spans="1:2">
      <c r="A5" s="118" t="s">
        <v>2</v>
      </c>
      <c r="B5" s="128" t="s">
        <v>225</v>
      </c>
    </row>
    <row r="6" spans="1:2">
      <c r="A6" s="118" t="s">
        <v>243</v>
      </c>
      <c r="B6" s="128">
        <v>917</v>
      </c>
    </row>
    <row r="7" spans="1:2">
      <c r="A7" s="118" t="s">
        <v>167</v>
      </c>
      <c r="B7" s="128"/>
    </row>
    <row r="8" spans="1:2">
      <c r="A8" s="118" t="s">
        <v>168</v>
      </c>
      <c r="B8" s="128"/>
    </row>
    <row r="9" spans="1:2">
      <c r="A9" s="118" t="s">
        <v>169</v>
      </c>
      <c r="B9" s="128">
        <v>1000</v>
      </c>
    </row>
    <row r="10" spans="1:2">
      <c r="A10" s="119" t="s">
        <v>170</v>
      </c>
      <c r="B10" s="129" t="s">
        <v>335</v>
      </c>
    </row>
    <row r="11" spans="1:2">
      <c r="A11" s="120" t="s">
        <v>171</v>
      </c>
      <c r="B11" s="130">
        <v>90</v>
      </c>
    </row>
    <row r="12" spans="1:2">
      <c r="A12" s="120" t="s">
        <v>244</v>
      </c>
      <c r="B12" s="130"/>
    </row>
    <row r="13" spans="1:2">
      <c r="A13" s="120" t="s">
        <v>172</v>
      </c>
      <c r="B13" s="130"/>
    </row>
    <row r="14" spans="1:2">
      <c r="A14" s="120" t="s">
        <v>173</v>
      </c>
      <c r="B14" s="131"/>
    </row>
    <row r="15" spans="1:2">
      <c r="A15" s="119" t="s">
        <v>174</v>
      </c>
      <c r="B15" s="132">
        <v>24</v>
      </c>
    </row>
    <row r="16" spans="1:2">
      <c r="A16" s="120" t="s">
        <v>175</v>
      </c>
      <c r="B16" s="133">
        <v>1.3</v>
      </c>
    </row>
    <row r="17" spans="1:2">
      <c r="A17" s="120" t="s">
        <v>176</v>
      </c>
      <c r="B17" s="100">
        <f>B15/B16</f>
        <v>18.46153846153846</v>
      </c>
    </row>
    <row r="18" spans="1:2">
      <c r="A18" s="120" t="s">
        <v>177</v>
      </c>
      <c r="B18" s="130">
        <v>345</v>
      </c>
    </row>
    <row r="19" spans="1:2">
      <c r="A19" s="120" t="s">
        <v>157</v>
      </c>
      <c r="B19" s="133">
        <v>1.05</v>
      </c>
    </row>
    <row r="20" spans="1:2">
      <c r="A20" s="120" t="s">
        <v>178</v>
      </c>
      <c r="B20" s="101">
        <f>B18/B19</f>
        <v>328.57142857142856</v>
      </c>
    </row>
    <row r="21" spans="1:2">
      <c r="A21" s="119" t="s">
        <v>179</v>
      </c>
      <c r="B21" s="86">
        <v>794.4</v>
      </c>
    </row>
    <row r="22" spans="1:2">
      <c r="A22" s="120" t="s">
        <v>180</v>
      </c>
      <c r="B22" s="87"/>
    </row>
    <row r="23" spans="1:2">
      <c r="A23" s="120" t="s">
        <v>181</v>
      </c>
      <c r="B23" s="87">
        <v>345</v>
      </c>
    </row>
    <row r="24" spans="1:2">
      <c r="A24" s="120" t="s">
        <v>182</v>
      </c>
      <c r="B24" s="87">
        <v>490</v>
      </c>
    </row>
    <row r="25" spans="1:2">
      <c r="A25" s="120" t="s">
        <v>183</v>
      </c>
      <c r="B25" s="87"/>
    </row>
    <row r="26" spans="1:2">
      <c r="A26" s="120" t="s">
        <v>184</v>
      </c>
      <c r="B26" s="87"/>
    </row>
    <row r="27" spans="1:2">
      <c r="A27" s="120" t="s">
        <v>185</v>
      </c>
      <c r="B27" s="87">
        <v>90</v>
      </c>
    </row>
    <row r="28" spans="1:2">
      <c r="A28" s="120" t="s">
        <v>186</v>
      </c>
      <c r="B28" s="87"/>
    </row>
    <row r="29" spans="1:2">
      <c r="A29" s="120" t="s">
        <v>187</v>
      </c>
      <c r="B29" s="87">
        <v>125</v>
      </c>
    </row>
    <row r="30" spans="1:2">
      <c r="A30" s="121" t="s">
        <v>188</v>
      </c>
      <c r="B30" s="88"/>
    </row>
    <row r="31" spans="1:2" s="21" customFormat="1" ht="11.25">
      <c r="A31" s="119" t="s">
        <v>236</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189</v>
      </c>
      <c r="B34" s="102">
        <f>MIN(0.2*(B17)^(1/3),0.72)</f>
        <v>0.528590425204984</v>
      </c>
    </row>
    <row r="35" spans="1:2" s="21" customFormat="1" ht="11.25">
      <c r="A35" s="120" t="s">
        <v>190</v>
      </c>
      <c r="B35" s="103">
        <f>MIN((1000/dc(B5,B6,B9,B10,B11))^(1/4),1.5)</f>
        <v>1.0486332462152452</v>
      </c>
    </row>
    <row r="36" spans="1:2" s="21" customFormat="1" ht="11.25">
      <c r="A36" s="120" t="s">
        <v>191</v>
      </c>
      <c r="B36" s="104">
        <f>Ass(B5,B6,B9,B10)/(B9*dc(B5,B6,B9,B10,B11))</f>
        <v>3.5199418903982768E-3</v>
      </c>
    </row>
    <row r="37" spans="1:2" s="21" customFormat="1" ht="11.25">
      <c r="A37" s="120" t="s">
        <v>192</v>
      </c>
      <c r="B37" s="103">
        <f>MIN((100*B36)^(1/3),1.5)</f>
        <v>0.70606578168141332</v>
      </c>
    </row>
    <row r="38" spans="1:2" s="21" customFormat="1" ht="11.25">
      <c r="A38" s="119" t="s">
        <v>240</v>
      </c>
      <c r="B38" s="135">
        <v>787.58001708984375</v>
      </c>
    </row>
    <row r="39" spans="1:2" s="21" customFormat="1" ht="11.25">
      <c r="A39" s="120" t="s">
        <v>235</v>
      </c>
      <c r="B39" s="105">
        <f>B31*hc(B5,B6,B9)/6000</f>
        <v>10.300966666666667</v>
      </c>
    </row>
    <row r="40" spans="1:2" s="21" customFormat="1" ht="11.25">
      <c r="A40" s="122" t="s">
        <v>237</v>
      </c>
      <c r="B40" s="103">
        <f>IF(B31&gt;=0,MIN(1+2*B39/B38,2),MAX(1+4*B39/B38,0))</f>
        <v>1.0261585272433127</v>
      </c>
    </row>
    <row r="41" spans="1:2" s="21" customFormat="1" ht="11.25">
      <c r="A41" s="120" t="s">
        <v>238</v>
      </c>
      <c r="B41" s="89">
        <v>1.3</v>
      </c>
    </row>
    <row r="42" spans="1:2" s="21" customFormat="1" ht="11.25">
      <c r="A42" s="120" t="s">
        <v>239</v>
      </c>
      <c r="B42" s="75">
        <f>B35*B37*B40*B34*bc(B5,B6,B9)*dc(B5,B6,B9,B10,B11)/B41/1000</f>
        <v>255.48458118888303</v>
      </c>
    </row>
    <row r="43" spans="1:2">
      <c r="A43" s="119" t="s">
        <v>194</v>
      </c>
      <c r="B43" s="90">
        <v>0.5</v>
      </c>
    </row>
    <row r="44" spans="1:2">
      <c r="A44" s="120" t="s">
        <v>195</v>
      </c>
      <c r="B44" s="106">
        <f>((B32+B33-B43*B42)*B29/(B21*(dc(B5,B6,B9,B10,B11)/1.15)*(SIN(RADIANS(B27))+COS(RADIANS(B27)))))*(B33/(B32+B33+B42))*1000</f>
        <v>9.7860709927511795</v>
      </c>
    </row>
    <row r="45" spans="1:2">
      <c r="A45" s="120" t="s">
        <v>196</v>
      </c>
      <c r="B45" s="106" t="str">
        <f>IF(B22=0,"",((B32+B33-B43*B42)*B29/(B21*(dc(B5,B6,B9,B10,B11)/1.15)*(SIN(RADIANS(B27))+COS(RADIANS(B27)))))*(B33/(B32+B33+B42))*1000)</f>
        <v/>
      </c>
    </row>
    <row r="46" spans="1:2">
      <c r="A46" s="120" t="s">
        <v>197</v>
      </c>
      <c r="B46" s="106">
        <f>((B32+B33-B43*B42)*B29/(B21*(dc(B5,B6,B9,B10,B11)/1.15)*(SIN(RADIANS(B27))+COS(RADIANS(B27)))))*((B32+B42)/(B32+B33+B42))*1000</f>
        <v>29.08684919318312</v>
      </c>
    </row>
    <row r="47" spans="1:2">
      <c r="A47" s="120" t="s">
        <v>198</v>
      </c>
      <c r="B47" s="106" t="str">
        <f>IF(B22=0,"",((B32+B33-B43*B42)*B29/(B21*(dc(B5,B6,B9,B10,B11)/1.15)*(SIN(RADIANS(B27))+COS(RADIANS(B27)))))*((B32+B42)/(B32+B33+B42))*1000)</f>
        <v/>
      </c>
    </row>
    <row r="48" spans="1:2">
      <c r="A48" s="120" t="s">
        <v>199</v>
      </c>
      <c r="B48" s="106">
        <f>B61*(10^(3.09-0.003*B57))/((2*10^6)^0.12)*(1-(B44/B24))/B65</f>
        <v>117.17612478405442</v>
      </c>
    </row>
    <row r="49" spans="1:2">
      <c r="A49" s="120" t="s">
        <v>200</v>
      </c>
      <c r="B49" s="106" t="str">
        <f>IF(B22=0,"",B61*(10^(3.09-0.003*B58))/((2*10^6)^0.12)*(1-(B45/B26))/B65)</f>
        <v/>
      </c>
    </row>
    <row r="50" spans="1:2">
      <c r="A50" s="120" t="s">
        <v>193</v>
      </c>
      <c r="B50" s="89">
        <v>1</v>
      </c>
    </row>
    <row r="51" spans="1:2" s="108" customFormat="1">
      <c r="A51" s="123" t="s">
        <v>201</v>
      </c>
      <c r="B51" s="107">
        <f>B68*B44/(B48/B50)</f>
        <v>8.3515912569954595E-2</v>
      </c>
    </row>
    <row r="52" spans="1:2" s="108" customFormat="1">
      <c r="A52" s="124" t="s">
        <v>202</v>
      </c>
      <c r="B52" s="109" t="str">
        <f>IF(B22=0,"",B68*B45/(B49/B50))</f>
        <v/>
      </c>
    </row>
    <row r="53" spans="1:2">
      <c r="A53" s="119" t="s">
        <v>203</v>
      </c>
      <c r="B53" s="110">
        <f>IF(B51&lt;=1,0.06,0.12)</f>
        <v>0.06</v>
      </c>
    </row>
    <row r="54" spans="1:2">
      <c r="A54" s="120" t="s">
        <v>204</v>
      </c>
      <c r="B54" s="101" t="str">
        <f>IF(B22=0,"",IF(B52&lt;=1,0.06,0.12))</f>
        <v/>
      </c>
    </row>
    <row r="55" spans="1:2" s="108" customFormat="1">
      <c r="A55" s="125" t="s">
        <v>160</v>
      </c>
      <c r="B55" s="87">
        <v>56400</v>
      </c>
    </row>
    <row r="56" spans="1:2" s="108" customFormat="1">
      <c r="A56" s="125" t="s">
        <v>161</v>
      </c>
      <c r="B56" s="87"/>
    </row>
    <row r="57" spans="1:2" s="108" customFormat="1">
      <c r="A57" s="125" t="s">
        <v>205</v>
      </c>
      <c r="B57" s="87">
        <v>16</v>
      </c>
    </row>
    <row r="58" spans="1:2" s="108" customFormat="1">
      <c r="A58" s="126" t="s">
        <v>206</v>
      </c>
      <c r="B58" s="88"/>
    </row>
    <row r="59" spans="1:2">
      <c r="A59" s="119" t="s">
        <v>207</v>
      </c>
      <c r="B59" s="111">
        <f>IF(B51&lt;=1,2.71-0.003*B57,3.09-0.003*B57)</f>
        <v>2.6619999999999999</v>
      </c>
    </row>
    <row r="60" spans="1:2">
      <c r="A60" s="120" t="s">
        <v>208</v>
      </c>
      <c r="B60" s="112" t="str">
        <f>IF(B22=0,"",IF(B52&lt;=1,2.71-0.003*B58,3.09-0.003*B58))</f>
        <v/>
      </c>
    </row>
    <row r="61" spans="1:2" s="108" customFormat="1">
      <c r="A61" s="125" t="s">
        <v>163</v>
      </c>
      <c r="B61" s="89">
        <v>0.65</v>
      </c>
    </row>
    <row r="62" spans="1:2" s="108" customFormat="1">
      <c r="A62" s="125" t="s">
        <v>164</v>
      </c>
      <c r="B62" s="89"/>
    </row>
    <row r="63" spans="1:2" s="108" customFormat="1">
      <c r="A63" s="125" t="s">
        <v>165</v>
      </c>
      <c r="B63" s="89">
        <v>1</v>
      </c>
    </row>
    <row r="64" spans="1:2" s="108" customFormat="1">
      <c r="A64" s="125" t="s">
        <v>166</v>
      </c>
      <c r="B64" s="89"/>
    </row>
    <row r="65" spans="1:2">
      <c r="A65" s="120" t="s">
        <v>209</v>
      </c>
      <c r="B65" s="89">
        <v>1.05</v>
      </c>
    </row>
    <row r="66" spans="1:2">
      <c r="A66" s="120" t="s">
        <v>210</v>
      </c>
      <c r="B66" s="106">
        <f>B61*B63*(10^B59)/(B55^B53)*(1-(B44/B24))/B65</f>
        <v>144.50603479677056</v>
      </c>
    </row>
    <row r="67" spans="1:2">
      <c r="A67" s="120" t="s">
        <v>211</v>
      </c>
      <c r="B67" s="106" t="str">
        <f>IF(B22=0,"",B62*B64*(10^B60)/(B56^B54)*(1-(B45/B24))/B65)</f>
        <v/>
      </c>
    </row>
    <row r="68" spans="1:2">
      <c r="A68" s="120" t="s">
        <v>212</v>
      </c>
      <c r="B68" s="89">
        <v>1</v>
      </c>
    </row>
    <row r="69" spans="1:2" s="108" customFormat="1">
      <c r="A69" s="123" t="s">
        <v>213</v>
      </c>
      <c r="B69" s="103">
        <f>B68*B46/(B66/B50)</f>
        <v>0.2012846676894158</v>
      </c>
    </row>
    <row r="70" spans="1:2" s="108" customFormat="1">
      <c r="A70" s="124" t="s">
        <v>214</v>
      </c>
      <c r="B70" s="113" t="str">
        <f>IF(B22=0,"",B68*B47/(B67/B50))</f>
        <v/>
      </c>
    </row>
    <row r="71" spans="1:2">
      <c r="A71" s="127" t="s">
        <v>215</v>
      </c>
      <c r="B71" s="114" t="str">
        <f>IF(MAX(B69:B70)&lt;1,"OK","NG")</f>
        <v>OK</v>
      </c>
    </row>
  </sheetData>
  <phoneticPr fontId="2"/>
  <dataValidations count="1">
    <dataValidation type="list" showInputMessage="1" showErrorMessage="1" sqref="B5" xr:uid="{00000000-0002-0000-0700-000000000000}">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9"/>
  <dimension ref="A2:B32"/>
  <sheetViews>
    <sheetView view="pageBreakPreview" topLeftCell="A8"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216</v>
      </c>
    </row>
    <row r="3" spans="1:2" ht="15.75" customHeight="1">
      <c r="A3" s="37" t="s">
        <v>0</v>
      </c>
      <c r="B3" s="64" t="s">
        <v>331</v>
      </c>
    </row>
    <row r="4" spans="1:2" ht="15.75" customHeight="1">
      <c r="A4" s="38" t="s">
        <v>1</v>
      </c>
      <c r="B4" s="63" t="s">
        <v>332</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330</v>
      </c>
    </row>
    <row r="11" spans="1:2" ht="15.75" customHeight="1">
      <c r="A11" s="38" t="s">
        <v>42</v>
      </c>
      <c r="B11" s="144">
        <v>90</v>
      </c>
    </row>
    <row r="12" spans="1:2" ht="15.75" customHeight="1">
      <c r="A12" s="38" t="s">
        <v>221</v>
      </c>
      <c r="B12" s="63" t="s">
        <v>230</v>
      </c>
    </row>
    <row r="13" spans="1:2" ht="15.75" customHeight="1">
      <c r="A13" s="38" t="s">
        <v>222</v>
      </c>
      <c r="B13" s="63" t="s">
        <v>231</v>
      </c>
    </row>
    <row r="14" spans="1:2" ht="15.75" customHeight="1">
      <c r="A14" s="38" t="s">
        <v>244</v>
      </c>
      <c r="B14" s="18" t="s">
        <v>334</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112</v>
      </c>
      <c r="B23" s="97">
        <v>96.8</v>
      </c>
    </row>
    <row r="24" spans="1:2" ht="15.75" customHeight="1">
      <c r="A24" s="38" t="s">
        <v>220</v>
      </c>
      <c r="B24" s="141">
        <v>7.5212586671113968E-4</v>
      </c>
    </row>
    <row r="25" spans="1:2" ht="15.75" customHeight="1">
      <c r="A25" s="38" t="s">
        <v>138</v>
      </c>
      <c r="B25" s="141">
        <v>1.7249999800696969E-3</v>
      </c>
    </row>
    <row r="26" spans="1:2" ht="15.75" customHeight="1">
      <c r="A26" s="38" t="s">
        <v>139</v>
      </c>
      <c r="B26" s="41">
        <v>306.66473388671875</v>
      </c>
    </row>
    <row r="27" spans="1:2" ht="15.75" customHeight="1">
      <c r="A27" s="38" t="s">
        <v>217</v>
      </c>
      <c r="B27" s="41">
        <v>1100.530029296875</v>
      </c>
    </row>
    <row r="28" spans="1:2" ht="15.75" customHeight="1">
      <c r="A28" s="38" t="s">
        <v>140</v>
      </c>
      <c r="B28" s="62">
        <v>1</v>
      </c>
    </row>
    <row r="29" spans="1:2" ht="15.75" customHeight="1">
      <c r="A29" s="38" t="s">
        <v>219</v>
      </c>
      <c r="B29" s="93">
        <f>B27/B28</f>
        <v>1100.530029296875</v>
      </c>
    </row>
    <row r="30" spans="1:2" ht="15.75" customHeight="1">
      <c r="A30" s="38" t="s">
        <v>141</v>
      </c>
      <c r="B30" s="62">
        <v>1</v>
      </c>
    </row>
    <row r="31" spans="1:2" ht="15.75" customHeight="1">
      <c r="A31" s="38" t="s">
        <v>218</v>
      </c>
      <c r="B31" s="94">
        <f>B30*B22/B29</f>
        <v>0.31375790828771027</v>
      </c>
    </row>
    <row r="32" spans="1:2" ht="15.75" customHeight="1">
      <c r="A32" s="39" t="s">
        <v>63</v>
      </c>
      <c r="B32" s="95" t="str">
        <f>IF(B31&lt;1,"OK","NG")</f>
        <v>OK</v>
      </c>
    </row>
  </sheetData>
  <phoneticPr fontId="2"/>
  <dataValidations count="2">
    <dataValidation type="list" showInputMessage="1" showErrorMessage="1" sqref="B5" xr:uid="{00000000-0002-0000-0800-000000000000}">
      <formula1>"矩形,円形,Ｔ形,逆T形,小判形"</formula1>
    </dataValidation>
    <dataValidation type="decimal" operator="greaterThanOrEqual" allowBlank="1" showInputMessage="1" showErrorMessage="1" sqref="B22" xr:uid="{00000000-0002-0000-0800-000001000000}">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95229043-683E-466E-A344-C4C73A575A45}">
  <ds:schemaRefs>
    <ds:schemaRef ds:uri="http://schemas.microsoft.com/SolverFoundationForExcel/Version"/>
  </ds:schemaRefs>
</ds:datastoreItem>
</file>

<file path=customXml/itemProps2.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ご利用方法</vt:lpstr>
      <vt:lpstr>許容応力度</vt:lpstr>
      <vt:lpstr>安全性破壊 曲げモーメント</vt:lpstr>
      <vt:lpstr>安全性破壊 せん断力</vt:lpstr>
      <vt:lpstr>耐久性 曲げひび割れ</vt:lpstr>
      <vt:lpstr>耐久性 せん断ひび割れ</vt:lpstr>
      <vt:lpstr>安全性疲労破壊 曲げモーメント</vt:lpstr>
      <vt:lpstr>安全性疲労破壊 せん断力</vt:lpstr>
      <vt:lpstr>復旧性 曲げモーメント</vt:lpstr>
      <vt:lpstr>'安全性破壊 曲げモーメント'!Print_Area</vt:lpstr>
      <vt:lpstr>許容応力度!Print_Titles</vt:lpstr>
      <vt:lpstr>パスワード</vt:lpstr>
      <vt:lpstr>ユーザー名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ささこう株式会社</cp:lastModifiedBy>
  <cp:lastPrinted>2017-08-31T01:47:06Z</cp:lastPrinted>
  <dcterms:created xsi:type="dcterms:W3CDTF">2014-11-11T12:34:56Z</dcterms:created>
  <dcterms:modified xsi:type="dcterms:W3CDTF">2021-06-24T09:56:54Z</dcterms:modified>
</cp:coreProperties>
</file>