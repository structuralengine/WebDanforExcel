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WebDanforExcel\"/>
    </mc:Choice>
  </mc:AlternateContent>
  <bookViews>
    <workbookView xWindow="360" yWindow="75" windowWidth="19260" windowHeight="8550" tabRatio="753" activeTab="1"/>
  </bookViews>
  <sheets>
    <sheet name="ご利用方法" sheetId="13" r:id="rId1"/>
    <sheet name="耐久性 曲げひび割れ" sheetId="1" r:id="rId2"/>
    <sheet name="耐久性 せん断ひび割れ" sheetId="5" r:id="rId3"/>
    <sheet name="安全性破壊 曲げモーメント" sheetId="4" r:id="rId4"/>
    <sheet name="安全性破壊 せん断力" sheetId="8" r:id="rId5"/>
    <sheet name="安全性疲労破壊 曲げモーメント" sheetId="9" r:id="rId6"/>
    <sheet name="安全性疲労破壊 せん断力" sheetId="11" r:id="rId7"/>
    <sheet name="復旧性 曲げモーメント" sheetId="12" r:id="rId8"/>
  </sheets>
  <functionGroups builtInGroupCount="18"/>
  <externalReferences>
    <externalReference r:id="rId9"/>
    <externalReference r:id="rId10"/>
    <externalReference r:id="rId11"/>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ええ" hidden="1">{"'表紙・目次 '!$A$8:$K$8"}</definedName>
    <definedName name="パスワード">ご利用方法!$B$21</definedName>
    <definedName name="ユーザー名">ご利用方法!$B$19</definedName>
    <definedName name="終局せん断" hidden="1">{"'表紙・目次 '!$A$8:$K$8"}</definedName>
    <definedName name="設計条件" hidden="1">{"'表紙・目次 '!$A$8:$K$8"}</definedName>
    <definedName name="抵抗モーメント" hidden="1">[3]ｽｲﾍｲ!$C$22</definedName>
    <definedName name="白紙" hidden="1">[2]ｽｲﾍｲ!$C$22</definedName>
  </definedNames>
  <calcPr calcId="152511"/>
</workbook>
</file>

<file path=xl/calcChain.xml><?xml version="1.0" encoding="utf-8"?>
<calcChain xmlns="http://schemas.openxmlformats.org/spreadsheetml/2006/main">
  <c r="N110" i="13" l="1"/>
  <c r="N111" i="13"/>
  <c r="N112" i="13"/>
  <c r="N113" i="13"/>
  <c r="N114" i="13"/>
  <c r="N115" i="13" s="1"/>
  <c r="N116" i="13" s="1"/>
  <c r="B17" i="8"/>
  <c r="B53" i="8" s="1"/>
  <c r="B20" i="8"/>
  <c r="B16" i="4"/>
  <c r="B19" i="4"/>
  <c r="B23" i="4"/>
  <c r="B24" i="4" s="1"/>
  <c r="B30" i="4"/>
  <c r="B32" i="4"/>
  <c r="B33" i="4" s="1"/>
  <c r="B17" i="11"/>
  <c r="B34" i="11"/>
  <c r="B20" i="11"/>
  <c r="B45" i="11"/>
  <c r="B47" i="11"/>
  <c r="B49" i="11"/>
  <c r="B52" i="11"/>
  <c r="B54" i="11"/>
  <c r="B60" i="11"/>
  <c r="B67" i="11"/>
  <c r="B70" i="11"/>
  <c r="B16" i="9"/>
  <c r="B19" i="9"/>
  <c r="B27" i="9"/>
  <c r="B29" i="9"/>
  <c r="B30" i="9" s="1"/>
  <c r="B17" i="5"/>
  <c r="B20" i="5"/>
  <c r="B34" i="5"/>
  <c r="B16" i="1"/>
  <c r="B19" i="1"/>
  <c r="B18" i="12"/>
  <c r="B21" i="12"/>
  <c r="B29" i="12"/>
  <c r="B31" i="12"/>
  <c r="B32" i="12"/>
  <c r="B38" i="8"/>
  <c r="B36" i="11"/>
  <c r="B39" i="5"/>
  <c r="B23" i="1"/>
  <c r="B40" i="8"/>
  <c r="B47" i="8"/>
  <c r="B39" i="8"/>
  <c r="B35" i="5"/>
  <c r="B39" i="11"/>
  <c r="B35" i="11"/>
  <c r="B36" i="5"/>
  <c r="B42" i="8"/>
  <c r="B25" i="1"/>
  <c r="B55" i="8"/>
  <c r="B57" i="8" l="1"/>
  <c r="B58" i="8" s="1"/>
  <c r="B26" i="1"/>
  <c r="B31" i="1"/>
  <c r="B32" i="1" s="1"/>
  <c r="B43" i="8"/>
  <c r="B37" i="5"/>
  <c r="B40" i="11"/>
  <c r="B41" i="8"/>
  <c r="B40" i="5"/>
  <c r="B37" i="11"/>
  <c r="B33" i="9"/>
  <c r="B37" i="9" s="1"/>
  <c r="B39" i="9" s="1"/>
  <c r="B40" i="9" s="1"/>
  <c r="B42" i="5"/>
  <c r="B42" i="11"/>
  <c r="B45" i="8"/>
  <c r="B49" i="8" l="1"/>
  <c r="B51" i="8" s="1"/>
  <c r="B52" i="8" s="1"/>
  <c r="B43" i="5"/>
  <c r="B46" i="1"/>
  <c r="B47" i="1"/>
  <c r="B44" i="1"/>
  <c r="B46" i="11"/>
  <c r="B44" i="11"/>
  <c r="B48" i="11" l="1"/>
  <c r="B51" i="11" s="1"/>
  <c r="B53" i="5"/>
  <c r="B57" i="5" s="1"/>
  <c r="B45" i="5"/>
  <c r="B49" i="5"/>
  <c r="B46" i="5" l="1"/>
  <c r="B59" i="11"/>
  <c r="B53" i="11"/>
  <c r="B47" i="5"/>
  <c r="B50" i="5" l="1"/>
  <c r="B66" i="11"/>
  <c r="B69" i="11" s="1"/>
  <c r="B71" i="11" s="1"/>
  <c r="B52" i="5"/>
  <c r="B56" i="5" l="1"/>
  <c r="B58" i="5" s="1"/>
</calcChain>
</file>

<file path=xl/sharedStrings.xml><?xml version="1.0" encoding="utf-8"?>
<sst xmlns="http://schemas.openxmlformats.org/spreadsheetml/2006/main" count="485" uniqueCount="345">
  <si>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</si>
  <si>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</si>
  <si>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</si>
  <si>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</si>
  <si>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</si>
  <si>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</si>
  <si>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</si>
  <si>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</si>
  <si>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</si>
  <si>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</si>
  <si>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</si>
  <si>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</si>
  <si>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</si>
  <si>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</si>
  <si>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</si>
  <si>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</si>
  <si>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</si>
  <si>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</si>
  <si>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</si>
  <si>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</si>
  <si>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</si>
  <si>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</si>
  <si>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</si>
  <si>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</si>
  <si>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</si>
  <si>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</si>
  <si>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</si>
  <si>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</si>
  <si>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</si>
  <si>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</si>
  <si>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</si>
  <si>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</si>
  <si>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</si>
  <si>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</si>
  <si>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</si>
  <si>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</si>
  <si>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</si>
  <si>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</si>
  <si>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</si>
  <si>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</si>
  <si>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</si>
  <si>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</si>
  <si>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</si>
  <si>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</si>
  <si>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</si>
  <si>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</si>
  <si>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</si>
  <si>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</si>
  <si>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</si>
  <si>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</si>
  <si>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</si>
  <si>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</si>
  <si>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</si>
  <si>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</si>
  <si>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</si>
  <si>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</si>
  <si>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</si>
  <si>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</si>
  <si>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</si>
  <si>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</si>
  <si>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</si>
  <si>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</si>
  <si>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</si>
  <si>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</si>
  <si>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</si>
  <si>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</si>
  <si>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</si>
  <si>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</si>
  <si>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</si>
  <si>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</si>
  <si>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</si>
  <si>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</si>
  <si>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</si>
  <si>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</si>
  <si>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</si>
  <si>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</si>
  <si>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</si>
  <si>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</si>
  <si>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</si>
  <si>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</si>
  <si>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</si>
  <si>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</si>
  <si>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</si>
  <si>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</si>
  <si>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</si>
  <si>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</si>
  <si>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</si>
  <si>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</si>
  <si>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</si>
  <si>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</si>
  <si>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</si>
  <si>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</si>
  <si>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</si>
  <si>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Ｖvd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</si>
  <si>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</si>
  <si>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</si>
  <si>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</si>
  <si>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</si>
  <si>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</si>
  <si>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</si>
  <si>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</si>
  <si>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</si>
  <si>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</si>
  <si>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</si>
  <si>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</si>
  <si>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</si>
  <si>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</si>
  <si>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</si>
  <si>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</si>
  <si>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</si>
  <si>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</si>
  <si>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</si>
  <si>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</si>
  <si>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</si>
  <si>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</si>
  <si>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</si>
  <si>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</si>
  <si>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</si>
  <si>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</si>
  <si>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</si>
  <si>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</si>
  <si>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</si>
  <si>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</si>
  <si>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</si>
  <si>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</si>
  <si>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</si>
  <si>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</si>
  <si>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</si>
  <si>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</si>
  <si>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</si>
  <si>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</si>
  <si>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</si>
  <si>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</si>
  <si>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</si>
  <si>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</si>
  <si>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</si>
  <si>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</si>
  <si>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</si>
  <si>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</si>
  <si>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</si>
  <si>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</si>
  <si>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</si>
  <si>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</si>
  <si>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</si>
  <si>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</si>
  <si>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</si>
  <si>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</si>
  <si>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</si>
  <si>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</si>
  <si>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</si>
  <si>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</si>
  <si>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</si>
  <si>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</si>
  <si>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</si>
  <si>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</si>
  <si>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</si>
  <si>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</si>
  <si>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</si>
  <si>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</si>
  <si>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</si>
  <si>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</si>
  <si>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</si>
  <si>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</si>
  <si>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</si>
  <si>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</si>
  <si>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</si>
  <si>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</si>
  <si>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</si>
  <si>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</si>
  <si>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</si>
  <si>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</si>
  <si>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</si>
  <si>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</si>
  <si>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</si>
  <si>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</si>
  <si>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</si>
  <si>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</si>
  <si>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</si>
  <si>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</si>
  <si>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</si>
  <si>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</si>
  <si>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</si>
  <si>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</si>
  <si>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</si>
  <si>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</si>
  <si>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</si>
  <si>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</si>
  <si>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</si>
  <si>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</si>
  <si>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</si>
  <si>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</si>
  <si>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</si>
  <si>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</si>
  <si>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</si>
  <si>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</si>
  <si>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</si>
  <si>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</si>
  <si>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</si>
  <si>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</si>
  <si>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</si>
  <si>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</si>
  <si>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</si>
  <si>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</si>
  <si>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</si>
  <si>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</si>
  <si>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</si>
  <si>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</si>
  <si>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</si>
  <si>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</si>
  <si>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</si>
  <si>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</si>
  <si>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</si>
  <si>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</si>
  <si>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</si>
  <si>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</si>
  <si>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</si>
  <si>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</si>
  <si>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</si>
  <si>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</si>
  <si>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</si>
  <si>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</si>
  <si>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</si>
  <si>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</si>
  <si>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</si>
  <si>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</si>
  <si>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</si>
  <si>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</si>
  <si>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</si>
  <si>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</si>
  <si>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</si>
  <si>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</si>
  <si>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</si>
  <si>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</si>
  <si>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</si>
  <si>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</si>
  <si>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</si>
  <si>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</si>
  <si>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</si>
  <si>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</si>
  <si>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</si>
  <si>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</si>
  <si>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</si>
  <si>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</si>
  <si>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</si>
  <si>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</si>
  <si>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</si>
  <si>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</si>
  <si>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</si>
  <si>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D19-11</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</si>
  <si>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</si>
  <si>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</si>
  <si>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</si>
  <si>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</si>
  <si>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</si>
  <si>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</si>
  <si>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</si>
  <si>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</si>
  <si>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</si>
  <si>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</si>
  <si>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</si>
  <si>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</si>
  <si>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</si>
  <si>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</si>
  <si>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</si>
  <si>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</si>
  <si>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</si>
  <si>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</si>
  <si>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</si>
  <si>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</si>
  <si>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</si>
  <si>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</si>
  <si>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</si>
  <si>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</si>
  <si>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</si>
  <si>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</si>
  <si>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</si>
  <si>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</si>
  <si>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</si>
  <si>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</si>
  <si>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</si>
  <si>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</si>
  <si>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</si>
  <si>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</si>
  <si>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</si>
  <si>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</si>
  <si>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</si>
  <si>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</si>
  <si>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</si>
  <si>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</si>
  <si>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</si>
  <si>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</si>
  <si>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</si>
  <si>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</si>
  <si>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</si>
  <si>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</si>
  <si>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</si>
  <si>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</si>
  <si>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</si>
  <si>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</si>
  <si>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</si>
  <si>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</si>
  <si>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</si>
  <si>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</si>
  <si>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</si>
  <si>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</si>
  <si>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</si>
  <si>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</si>
  <si>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</si>
  <si>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</si>
  <si>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</si>
  <si>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</si>
  <si>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</si>
  <si>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</si>
  <si>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</si>
  <si>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</si>
  <si>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</si>
  <si>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</si>
  <si>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</si>
  <si>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</si>
  <si>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</si>
  <si>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</si>
  <si>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</si>
  <si>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</si>
  <si>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</si>
  <si>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</si>
  <si>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</si>
  <si>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</si>
  <si>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</si>
  <si>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</si>
  <si>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</si>
  <si>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</si>
  <si>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</si>
  <si>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</si>
  <si>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</si>
  <si>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</si>
  <si>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</si>
  <si>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</si>
  <si>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</si>
  <si>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</si>
  <si>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</si>
  <si>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</si>
  <si>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</si>
  <si>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</si>
  <si>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</si>
  <si>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r>
      <t>┃　　ＵＲＬ：http://structuralengine.</t>
    </r>
    <r>
      <rPr>
        <sz val="11"/>
        <rFont val="ＭＳ Ｐゴシック"/>
        <family val="3"/>
        <charset val="128"/>
      </rPr>
      <t>jp</t>
    </r>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</si>
</sst>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s>
  <fonts count="78">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charset val="128"/>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s>
  <fills count="28">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style="thin">
        <color indexed="64"/>
      </top>
      <bottom/>
      <diagonal/>
    </border>
    <border>
      <left/>
      <right style="hair">
        <color indexed="64"/>
      </right>
      <top/>
      <bottom style="thin">
        <color indexed="64"/>
      </bottom>
      <diagonal/>
    </border>
  </borders>
  <cellStyleXfs count="386">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cellStyleXfs>
  <cellXfs count="210">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66" fillId="27" borderId="37" xfId="377" applyFont="1" applyFill="1" applyBorder="1" applyAlignment="1">
      <alignment horizontal="center" vertical="center" wrapText="1"/>
    </xf>
    <xf numFmtId="0" fontId="66" fillId="27" borderId="38" xfId="377" applyFont="1" applyFill="1" applyBorder="1" applyAlignment="1">
      <alignment horizontal="center" vertical="center" wrapText="1"/>
    </xf>
    <xf numFmtId="0" fontId="58" fillId="0" borderId="35" xfId="0" applyFont="1" applyFill="1" applyBorder="1" applyAlignment="1">
      <alignment horizontal="left" vertical="center"/>
    </xf>
    <xf numFmtId="0" fontId="58" fillId="0" borderId="4" xfId="0" applyFont="1" applyFill="1" applyBorder="1" applyAlignment="1">
      <alignment horizontal="left" vertical="center"/>
    </xf>
    <xf numFmtId="0" fontId="58" fillId="0" borderId="36" xfId="0" applyFont="1" applyFill="1" applyBorder="1" applyAlignment="1">
      <alignment horizontal="left" vertical="center"/>
    </xf>
    <xf numFmtId="0" fontId="73" fillId="0" borderId="35" xfId="377" applyFont="1" applyFill="1" applyBorder="1" applyAlignment="1">
      <alignment horizontal="left" vertical="center"/>
    </xf>
    <xf numFmtId="0" fontId="73" fillId="0" borderId="4" xfId="377" applyFont="1" applyFill="1" applyBorder="1" applyAlignment="1">
      <alignment horizontal="left" vertical="center"/>
    </xf>
    <xf numFmtId="0" fontId="73" fillId="0" borderId="36" xfId="377" applyFont="1" applyFill="1" applyBorder="1" applyAlignment="1">
      <alignment horizontal="left" vertical="center"/>
    </xf>
  </cellXfs>
  <cellStyles count="386">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_600_断面性照査" xfId="377"/>
    <cellStyle name="標準1" xfId="378"/>
    <cellStyle name="標準１" xfId="379"/>
    <cellStyle name="標準A4計算書" xfId="380"/>
    <cellStyle name="分数" xfId="381"/>
    <cellStyle name="未定義" xfId="382"/>
    <cellStyle name="良い 2" xfId="383"/>
    <cellStyle name="良い 3" xfId="384"/>
    <cellStyle name="良い 4" xfId="38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9768" y="13379904"/>
          <a:ext cx="11485789" cy="2811235"/>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19800" y="16162564"/>
          <a:ext cx="3512004" cy="1730829"/>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opLeftCell="A26" zoomScale="70" zoomScaleNormal="70" workbookViewId="0">
      <selection activeCell="D63" sqref="D62:D63"/>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278</v>
      </c>
      <c r="B1" s="154"/>
      <c r="C1" s="154"/>
      <c r="D1" s="154"/>
      <c r="E1" s="154"/>
      <c r="F1" s="154"/>
      <c r="G1" s="154"/>
      <c r="H1" s="154"/>
      <c r="I1" s="154"/>
      <c r="J1" s="154"/>
    </row>
    <row r="3" spans="1:11" s="151" customFormat="1" ht="14.25" customHeight="1">
      <c r="B3" s="149" t="s">
        <v>310</v>
      </c>
      <c r="K3" s="152"/>
    </row>
    <row r="4" spans="1:11" s="151" customFormat="1" ht="7.5" customHeight="1"/>
    <row r="5" spans="1:11" s="151" customFormat="1" ht="14.25" customHeight="1">
      <c r="B5" s="151" t="s">
        <v>299</v>
      </c>
    </row>
    <row r="6" spans="1:11" s="151" customFormat="1" ht="14.25" customHeight="1">
      <c r="B6" s="151" t="s">
        <v>300</v>
      </c>
    </row>
    <row r="7" spans="1:11" s="151" customFormat="1" ht="14.25" customHeight="1"/>
    <row r="8" spans="1:11" s="151" customFormat="1" ht="14.25" customHeight="1">
      <c r="B8" s="151" t="s">
        <v>279</v>
      </c>
    </row>
    <row r="9" spans="1:11" s="151" customFormat="1" ht="14.25" customHeight="1">
      <c r="B9" s="151" t="s">
        <v>328</v>
      </c>
    </row>
    <row r="10" spans="1:11" ht="14.25" customHeight="1">
      <c r="B10" s="148" t="s">
        <v>280</v>
      </c>
    </row>
    <row r="11" spans="1:11" ht="14.25" customHeight="1">
      <c r="B11" s="148" t="s">
        <v>329</v>
      </c>
    </row>
    <row r="13" spans="1:11" ht="14.25" customHeight="1">
      <c r="B13" s="148" t="s">
        <v>303</v>
      </c>
    </row>
    <row r="14" spans="1:11" ht="14.25" customHeight="1">
      <c r="B14" s="162" t="s">
        <v>302</v>
      </c>
    </row>
    <row r="16" spans="1:11" ht="14.25" customHeight="1">
      <c r="B16" s="148" t="s">
        <v>304</v>
      </c>
    </row>
    <row r="18" spans="1:19" s="165" customFormat="1" ht="14.25" customHeight="1">
      <c r="A18" s="163"/>
      <c r="B18" s="164" t="s">
        <v>305</v>
      </c>
      <c r="F18" s="163"/>
      <c r="M18" s="163"/>
      <c r="S18" s="163"/>
    </row>
    <row r="19" spans="1:19" s="165" customFormat="1" ht="14.25" customHeight="1">
      <c r="A19" s="163"/>
      <c r="B19" s="204"/>
      <c r="C19" s="205"/>
      <c r="D19" s="205"/>
      <c r="E19" s="205"/>
      <c r="F19" s="205"/>
      <c r="G19" s="205"/>
      <c r="H19" s="206"/>
      <c r="M19" s="163"/>
      <c r="S19" s="163"/>
    </row>
    <row r="20" spans="1:19" s="165" customFormat="1" ht="14.25" customHeight="1">
      <c r="A20" s="163"/>
      <c r="B20" s="164" t="s">
        <v>341</v>
      </c>
      <c r="F20" s="163"/>
      <c r="M20" s="163"/>
      <c r="S20" s="163"/>
    </row>
    <row r="21" spans="1:19" s="165" customFormat="1" ht="14.25" customHeight="1">
      <c r="A21" s="163"/>
      <c r="B21" s="207"/>
      <c r="C21" s="208"/>
      <c r="D21" s="208"/>
      <c r="E21" s="208"/>
      <c r="F21" s="208"/>
      <c r="G21" s="208"/>
      <c r="H21" s="209"/>
      <c r="M21" s="163"/>
      <c r="S21" s="163"/>
    </row>
    <row r="23" spans="1:19" ht="14.25" customHeight="1">
      <c r="B23" s="148" t="s">
        <v>308</v>
      </c>
    </row>
    <row r="24" spans="1:19" ht="14.25" customHeight="1">
      <c r="B24" s="156" t="s">
        <v>306</v>
      </c>
    </row>
    <row r="25" spans="1:19" ht="14.25" customHeight="1">
      <c r="B25" s="156" t="s">
        <v>307</v>
      </c>
    </row>
    <row r="28" spans="1:19" s="151" customFormat="1" ht="14.25" customHeight="1">
      <c r="B28" s="149" t="s">
        <v>309</v>
      </c>
      <c r="K28" s="152"/>
    </row>
    <row r="29" spans="1:19" s="151" customFormat="1" ht="7.5" customHeight="1"/>
    <row r="30" spans="1:19" ht="14.25" customHeight="1">
      <c r="B30" s="148" t="s">
        <v>273</v>
      </c>
    </row>
    <row r="31" spans="1:19" ht="14.25" customHeight="1">
      <c r="B31" s="148" t="s">
        <v>274</v>
      </c>
    </row>
    <row r="32" spans="1:19" ht="14.25" customHeight="1">
      <c r="B32" s="148" t="s">
        <v>275</v>
      </c>
    </row>
    <row r="33" spans="2:11" ht="14.25" customHeight="1">
      <c r="B33" s="148" t="s">
        <v>276</v>
      </c>
    </row>
    <row r="34" spans="2:11" ht="14.25" customHeight="1">
      <c r="B34" s="148" t="s">
        <v>277</v>
      </c>
    </row>
    <row r="37" spans="2:11" s="151" customFormat="1" ht="14.25" customHeight="1">
      <c r="B37" s="149" t="s">
        <v>281</v>
      </c>
      <c r="K37" s="152"/>
    </row>
    <row r="38" spans="2:11" s="151" customFormat="1" ht="7.5" customHeight="1"/>
    <row r="39" spans="2:11" ht="14.25" customHeight="1">
      <c r="B39" s="148" t="s">
        <v>286</v>
      </c>
    </row>
    <row r="41" spans="2:11" ht="14.25" customHeight="1">
      <c r="B41" s="156" t="s">
        <v>289</v>
      </c>
    </row>
    <row r="42" spans="2:11" ht="14.25" customHeight="1">
      <c r="B42" s="157" t="s">
        <v>282</v>
      </c>
    </row>
    <row r="43" spans="2:11" ht="14.25" customHeight="1">
      <c r="B43" s="157" t="s">
        <v>283</v>
      </c>
    </row>
    <row r="44" spans="2:11" ht="14.25" customHeight="1">
      <c r="B44" s="156" t="s">
        <v>290</v>
      </c>
    </row>
    <row r="45" spans="2:11" ht="14.25" customHeight="1">
      <c r="B45" s="157" t="s">
        <v>282</v>
      </c>
    </row>
    <row r="46" spans="2:11" ht="14.25" customHeight="1">
      <c r="B46" s="157" t="s">
        <v>283</v>
      </c>
    </row>
    <row r="47" spans="2:11" ht="14.25" customHeight="1">
      <c r="B47" s="156" t="s">
        <v>291</v>
      </c>
    </row>
    <row r="48" spans="2:11" ht="14.25" customHeight="1">
      <c r="B48" s="157" t="s">
        <v>282</v>
      </c>
    </row>
    <row r="49" spans="2:2" ht="14.25" customHeight="1">
      <c r="B49" s="156" t="s">
        <v>292</v>
      </c>
    </row>
    <row r="50" spans="2:2" ht="14.25" customHeight="1">
      <c r="B50" s="157" t="s">
        <v>284</v>
      </c>
    </row>
    <row r="51" spans="2:2" ht="14.25" customHeight="1">
      <c r="B51" s="157" t="s">
        <v>285</v>
      </c>
    </row>
    <row r="53" spans="2:2" ht="14.25" customHeight="1">
      <c r="B53" s="159" t="s">
        <v>296</v>
      </c>
    </row>
    <row r="54" spans="2:2" ht="14.25" customHeight="1">
      <c r="B54" s="161" t="s">
        <v>297</v>
      </c>
    </row>
    <row r="55" spans="2:2" ht="14.25" customHeight="1">
      <c r="B55" s="160" t="s">
        <v>287</v>
      </c>
    </row>
    <row r="56" spans="2:2" ht="14.25" customHeight="1">
      <c r="B56" s="148" t="s">
        <v>288</v>
      </c>
    </row>
    <row r="58" spans="2:2" ht="14.25" customHeight="1">
      <c r="B58" s="160" t="s">
        <v>298</v>
      </c>
    </row>
    <row r="59" spans="2:2" ht="14.25" customHeight="1">
      <c r="B59" s="148" t="s">
        <v>330</v>
      </c>
    </row>
    <row r="60" spans="2:2" ht="14.25" customHeight="1">
      <c r="B60" s="161" t="s">
        <v>293</v>
      </c>
    </row>
    <row r="62" spans="2:2" ht="14.25" customHeight="1">
      <c r="B62" s="148" t="s">
        <v>294</v>
      </c>
    </row>
    <row r="63" spans="2:2" ht="14.25" customHeight="1">
      <c r="B63" s="148" t="s">
        <v>295</v>
      </c>
    </row>
    <row r="65" spans="2:21" ht="14.25" customHeight="1">
      <c r="B65" s="148" t="s">
        <v>311</v>
      </c>
    </row>
    <row r="66" spans="2:21" ht="27" customHeight="1">
      <c r="B66" s="166" t="s">
        <v>14</v>
      </c>
      <c r="C66" s="167" t="s">
        <v>247</v>
      </c>
    </row>
    <row r="67" spans="2:21" ht="27" customHeight="1">
      <c r="B67" s="166" t="s">
        <v>3</v>
      </c>
      <c r="C67" s="167" t="s">
        <v>342</v>
      </c>
    </row>
    <row r="71" spans="2:21" s="151" customFormat="1" ht="14.25" customHeight="1">
      <c r="B71" s="149" t="s">
        <v>301</v>
      </c>
      <c r="K71" s="152"/>
    </row>
    <row r="72" spans="2:21" s="151" customFormat="1" ht="7.5" customHeight="1"/>
    <row r="73" spans="2:21" ht="14.25" customHeight="1">
      <c r="B73" s="151" t="s">
        <v>314</v>
      </c>
    </row>
    <row r="74" spans="2:21" ht="14.25" customHeight="1">
      <c r="B74" s="148" t="s">
        <v>312</v>
      </c>
    </row>
    <row r="76" spans="2:21" ht="14.25" customHeight="1">
      <c r="U76"/>
    </row>
    <row r="81" spans="2:20" ht="14.25" customHeight="1">
      <c r="N81"/>
    </row>
    <row r="82" spans="2:20" ht="14.25" customHeight="1">
      <c r="N82" s="148" t="s">
        <v>313</v>
      </c>
    </row>
    <row r="83" spans="2:20" ht="14.25" customHeight="1">
      <c r="K83"/>
    </row>
    <row r="85" spans="2:20" ht="14.25" customHeight="1">
      <c r="L85"/>
      <c r="T85"/>
    </row>
    <row r="87" spans="2:20" ht="14.25" customHeight="1">
      <c r="G87"/>
      <c r="L87"/>
    </row>
    <row r="88" spans="2:20" ht="14.25" customHeight="1">
      <c r="K88"/>
    </row>
    <row r="93" spans="2:20" ht="14.25" customHeight="1">
      <c r="B93" s="151" t="s">
        <v>315</v>
      </c>
    </row>
    <row r="94" spans="2:20" ht="14.25" customHeight="1">
      <c r="B94" s="168" t="s">
        <v>331</v>
      </c>
    </row>
    <row r="95" spans="2:20" ht="14.25" customHeight="1">
      <c r="B95" s="168" t="s">
        <v>327</v>
      </c>
    </row>
    <row r="97" spans="1:27" ht="14.25" customHeight="1">
      <c r="B97" s="168" t="s">
        <v>332</v>
      </c>
    </row>
    <row r="98" spans="1:27" ht="14.25" customHeight="1">
      <c r="B98" s="168" t="s">
        <v>333</v>
      </c>
    </row>
    <row r="101" spans="1:27" ht="14.25" customHeight="1">
      <c r="B101" s="150" t="s">
        <v>249</v>
      </c>
    </row>
    <row r="102" spans="1:27" ht="14.25" customHeight="1">
      <c r="B102" s="202" t="s">
        <v>250</v>
      </c>
      <c r="C102" s="202" t="s">
        <v>316</v>
      </c>
      <c r="D102" s="200" t="s">
        <v>251</v>
      </c>
    </row>
    <row r="103" spans="1:27" ht="14.25" customHeight="1">
      <c r="B103" s="203"/>
      <c r="C103" s="203"/>
      <c r="D103" s="201"/>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252</v>
      </c>
      <c r="N106" s="150" t="s">
        <v>253</v>
      </c>
      <c r="T106" s="150" t="s">
        <v>254</v>
      </c>
    </row>
    <row r="107" spans="1:27" ht="14.25" customHeight="1">
      <c r="B107" s="202" t="s">
        <v>255</v>
      </c>
      <c r="C107" s="198" t="s">
        <v>256</v>
      </c>
      <c r="D107" s="198" t="s">
        <v>257</v>
      </c>
      <c r="E107" s="200" t="s">
        <v>258</v>
      </c>
      <c r="G107" s="202" t="s">
        <v>258</v>
      </c>
      <c r="H107" s="198" t="s">
        <v>259</v>
      </c>
      <c r="I107" s="198" t="s">
        <v>260</v>
      </c>
      <c r="J107" s="198" t="s">
        <v>261</v>
      </c>
      <c r="K107" s="198" t="s">
        <v>262</v>
      </c>
      <c r="L107" s="200" t="s">
        <v>263</v>
      </c>
      <c r="N107" s="202" t="s">
        <v>264</v>
      </c>
      <c r="O107" s="198" t="s">
        <v>265</v>
      </c>
      <c r="P107" s="198" t="s">
        <v>266</v>
      </c>
      <c r="Q107" s="198" t="s">
        <v>267</v>
      </c>
      <c r="R107" s="200" t="s">
        <v>258</v>
      </c>
      <c r="T107" s="202" t="s">
        <v>258</v>
      </c>
      <c r="U107" s="198" t="s">
        <v>268</v>
      </c>
      <c r="V107" s="198" t="s">
        <v>269</v>
      </c>
      <c r="W107" s="198" t="s">
        <v>261</v>
      </c>
      <c r="X107" s="198" t="s">
        <v>263</v>
      </c>
      <c r="Y107" s="198" t="s">
        <v>270</v>
      </c>
      <c r="Z107" s="198" t="s">
        <v>271</v>
      </c>
      <c r="AA107" s="200" t="s">
        <v>272</v>
      </c>
    </row>
    <row r="108" spans="1:27" ht="14.25" customHeight="1">
      <c r="B108" s="203"/>
      <c r="C108" s="199"/>
      <c r="D108" s="199"/>
      <c r="E108" s="201"/>
      <c r="G108" s="203"/>
      <c r="H108" s="199"/>
      <c r="I108" s="199"/>
      <c r="J108" s="199"/>
      <c r="K108" s="199"/>
      <c r="L108" s="201"/>
      <c r="N108" s="203"/>
      <c r="O108" s="199"/>
      <c r="P108" s="199"/>
      <c r="Q108" s="199"/>
      <c r="R108" s="201"/>
      <c r="T108" s="203"/>
      <c r="U108" s="199"/>
      <c r="V108" s="199"/>
      <c r="W108" s="199"/>
      <c r="X108" s="199"/>
      <c r="Y108" s="199"/>
      <c r="Z108" s="199"/>
      <c r="AA108" s="201"/>
    </row>
    <row r="109" spans="1:27" s="158" customFormat="1" ht="14.25" customHeight="1">
      <c r="A109" s="171"/>
      <c r="B109" s="172">
        <v>800</v>
      </c>
      <c r="C109" s="173">
        <v>800</v>
      </c>
      <c r="D109" s="173">
        <v>800</v>
      </c>
      <c r="E109" s="174" t="s">
        <v>317</v>
      </c>
      <c r="F109" s="171"/>
      <c r="G109" s="175" t="s">
        <v>317</v>
      </c>
      <c r="H109" s="173">
        <v>24</v>
      </c>
      <c r="I109" s="173">
        <v>1.3</v>
      </c>
      <c r="J109" s="173">
        <v>25</v>
      </c>
      <c r="K109" s="173">
        <v>25</v>
      </c>
      <c r="L109" s="176">
        <v>1</v>
      </c>
      <c r="M109" s="171"/>
      <c r="N109" s="172">
        <v>75</v>
      </c>
      <c r="O109" s="177" t="s">
        <v>318</v>
      </c>
      <c r="P109" s="173">
        <v>8</v>
      </c>
      <c r="Q109" s="178"/>
      <c r="R109" s="174" t="s">
        <v>319</v>
      </c>
      <c r="S109" s="171"/>
      <c r="T109" s="175" t="s">
        <v>319</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318</v>
      </c>
      <c r="P110" s="180">
        <v>2</v>
      </c>
      <c r="Q110" s="185"/>
      <c r="R110" s="181" t="s">
        <v>319</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318</v>
      </c>
      <c r="P111" s="180">
        <v>2</v>
      </c>
      <c r="Q111" s="185"/>
      <c r="R111" s="181" t="s">
        <v>319</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318</v>
      </c>
      <c r="P112" s="180">
        <v>2</v>
      </c>
      <c r="Q112" s="185"/>
      <c r="R112" s="181" t="s">
        <v>319</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318</v>
      </c>
      <c r="P113" s="180">
        <v>2</v>
      </c>
      <c r="Q113" s="185"/>
      <c r="R113" s="181" t="s">
        <v>319</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318</v>
      </c>
      <c r="P114" s="180">
        <v>2</v>
      </c>
      <c r="Q114" s="185"/>
      <c r="R114" s="181" t="s">
        <v>319</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318</v>
      </c>
      <c r="P115" s="180">
        <v>2</v>
      </c>
      <c r="Q115" s="185"/>
      <c r="R115" s="181" t="s">
        <v>319</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318</v>
      </c>
      <c r="P116" s="180">
        <v>8</v>
      </c>
      <c r="Q116" s="185" t="s">
        <v>320</v>
      </c>
      <c r="R116" s="181" t="s">
        <v>319</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326</v>
      </c>
      <c r="K157" s="152"/>
    </row>
    <row r="158" spans="2:11" s="151" customFormat="1" ht="7.5" customHeight="1"/>
    <row r="159" spans="2:11" ht="14.25" customHeight="1">
      <c r="B159" s="194" t="s">
        <v>325</v>
      </c>
    </row>
    <row r="160" spans="2:11" ht="14.25" customHeight="1">
      <c r="B160" s="194" t="s">
        <v>322</v>
      </c>
    </row>
    <row r="161" spans="2:2" ht="14.25" customHeight="1">
      <c r="B161" s="194" t="s">
        <v>323</v>
      </c>
    </row>
    <row r="162" spans="2:2" ht="14.25" customHeight="1">
      <c r="B162" s="194" t="s">
        <v>324</v>
      </c>
    </row>
    <row r="163" spans="2:2" ht="14.25" customHeight="1">
      <c r="B163" s="196" t="s">
        <v>343</v>
      </c>
    </row>
    <row r="164" spans="2:2" ht="14.25" customHeight="1">
      <c r="B164" s="195" t="s">
        <v>321</v>
      </c>
    </row>
    <row r="165" spans="2:2" ht="14.25" customHeight="1">
      <c r="B165" s="197" t="s">
        <v>344</v>
      </c>
    </row>
  </sheetData>
  <mergeCells count="28">
    <mergeCell ref="I107:I108"/>
    <mergeCell ref="J107:J108"/>
    <mergeCell ref="B19:H19"/>
    <mergeCell ref="B21:H21"/>
    <mergeCell ref="G107:G108"/>
    <mergeCell ref="H107:H108"/>
    <mergeCell ref="B102:B103"/>
    <mergeCell ref="C102:C103"/>
    <mergeCell ref="B107:B108"/>
    <mergeCell ref="C107:C108"/>
    <mergeCell ref="D107:D108"/>
    <mergeCell ref="E107:E108"/>
    <mergeCell ref="Y107:Y10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N107:N108"/>
    <mergeCell ref="O107:O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6" r:id="rId6" name="TextBox1">
          <controlPr defaultSize="0" autoLine="0" autoPict="0" r:id="rId7">
            <anchor moveWithCells="1">
              <from>
                <xdr:col>1</xdr:col>
                <xdr:colOff>704850</xdr:colOff>
                <xdr:row>121</xdr:row>
                <xdr:rowOff>9525</xdr:rowOff>
              </from>
              <to>
                <xdr:col>6</xdr:col>
                <xdr:colOff>85725</xdr:colOff>
                <xdr:row>154</xdr:row>
                <xdr:rowOff>123825</xdr:rowOff>
              </to>
            </anchor>
          </controlPr>
        </control>
      </mc:Choice>
      <mc:Fallback>
        <control shapeId="10306" r:id="rId6" name="TextBox1"/>
      </mc:Fallback>
    </mc:AlternateContent>
    <mc:AlternateContent xmlns:mc="http://schemas.openxmlformats.org/markup-compatibility/2006">
      <mc:Choice Requires="x14">
        <control shapeId="10307" r:id="rId8" name="TextBox2">
          <controlPr defaultSize="0" autoLine="0" autoPict="0" r:id="rId9">
            <anchor moveWithCells="1">
              <from>
                <xdr:col>7</xdr:col>
                <xdr:colOff>47625</xdr:colOff>
                <xdr:row>120</xdr:row>
                <xdr:rowOff>171450</xdr:rowOff>
              </from>
              <to>
                <xdr:col>11</xdr:col>
                <xdr:colOff>638175</xdr:colOff>
                <xdr:row>154</xdr:row>
                <xdr:rowOff>104775</xdr:rowOff>
              </to>
            </anchor>
          </controlPr>
        </control>
      </mc:Choice>
      <mc:Fallback>
        <control shapeId="10307" r:id="rId8" name="TextBox2"/>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B47"/>
  <sheetViews>
    <sheetView tabSelected="1" view="pageBreakPreview" zoomScale="85" zoomScaleNormal="100" zoomScaleSheetLayoutView="85" workbookViewId="0">
      <selection activeCell="B13" sqref="B13"/>
    </sheetView>
  </sheetViews>
  <sheetFormatPr defaultColWidth="13.875" defaultRowHeight="15.75" customHeight="1"/>
  <cols>
    <col min="1" max="1" width="16.625" style="26" bestFit="1" customWidth="1"/>
    <col min="2" max="2" width="12.75" style="21" customWidth="1"/>
    <col min="3" max="16384" width="13.875" style="21"/>
  </cols>
  <sheetData>
    <row r="2" spans="1:2" ht="15.75" customHeight="1">
      <c r="A2" s="22" t="s">
        <v>229</v>
      </c>
    </row>
    <row r="3" spans="1:2" ht="15.75" customHeight="1">
      <c r="A3" s="23" t="s">
        <v>0</v>
      </c>
      <c r="B3" s="64" t="s">
        <v>224</v>
      </c>
    </row>
    <row r="4" spans="1:2" ht="15.75" customHeight="1">
      <c r="A4" s="24" t="s">
        <v>1</v>
      </c>
      <c r="B4" s="63" t="s">
        <v>225</v>
      </c>
    </row>
    <row r="5" spans="1:2" ht="15.75" customHeight="1">
      <c r="A5" s="24" t="s">
        <v>2</v>
      </c>
      <c r="B5" s="18" t="s">
        <v>246</v>
      </c>
    </row>
    <row r="6" spans="1:2" ht="15.75" customHeight="1">
      <c r="A6" s="24" t="s">
        <v>244</v>
      </c>
      <c r="B6" s="18">
        <v>1000</v>
      </c>
    </row>
    <row r="7" spans="1:2" ht="15.75" customHeight="1">
      <c r="A7" s="24" t="s">
        <v>11</v>
      </c>
      <c r="B7" s="18"/>
    </row>
    <row r="8" spans="1:2" ht="15.75" customHeight="1">
      <c r="A8" s="24" t="s">
        <v>12</v>
      </c>
      <c r="B8" s="18"/>
    </row>
    <row r="9" spans="1:2" ht="15.75" customHeight="1">
      <c r="A9" s="24" t="s">
        <v>13</v>
      </c>
      <c r="B9" s="18">
        <v>2100</v>
      </c>
    </row>
    <row r="10" spans="1:2" ht="15.75" customHeight="1">
      <c r="A10" s="24" t="s">
        <v>14</v>
      </c>
      <c r="B10" s="144" t="s">
        <v>248</v>
      </c>
    </row>
    <row r="11" spans="1:2" ht="15.75" customHeight="1">
      <c r="A11" s="24" t="s">
        <v>3</v>
      </c>
      <c r="B11" s="144">
        <v>83</v>
      </c>
    </row>
    <row r="12" spans="1:2" ht="15.75" customHeight="1">
      <c r="A12" s="11" t="s">
        <v>245</v>
      </c>
      <c r="B12" s="18" t="s">
        <v>248</v>
      </c>
    </row>
    <row r="13" spans="1:2" ht="15.75" customHeight="1">
      <c r="A13" s="24" t="s">
        <v>4</v>
      </c>
      <c r="B13" s="18">
        <v>83</v>
      </c>
    </row>
    <row r="14" spans="1:2" ht="15.75" customHeight="1">
      <c r="A14" s="24" t="s">
        <v>15</v>
      </c>
      <c r="B14" s="19">
        <v>27</v>
      </c>
    </row>
    <row r="15" spans="1:2" ht="15.75" customHeight="1">
      <c r="A15" s="24" t="s">
        <v>7</v>
      </c>
      <c r="B15" s="20">
        <v>1</v>
      </c>
    </row>
    <row r="16" spans="1:2" ht="15.75" customHeight="1">
      <c r="A16" s="24" t="s">
        <v>16</v>
      </c>
      <c r="B16" s="27">
        <f>B14/B15</f>
        <v>27</v>
      </c>
    </row>
    <row r="17" spans="1:2" ht="15.75" customHeight="1">
      <c r="A17" s="24" t="s">
        <v>17</v>
      </c>
      <c r="B17" s="18">
        <v>390</v>
      </c>
    </row>
    <row r="18" spans="1:2" ht="15.75" customHeight="1">
      <c r="A18" s="24" t="s">
        <v>8</v>
      </c>
      <c r="B18" s="20">
        <v>1</v>
      </c>
    </row>
    <row r="19" spans="1:2" ht="15.75" customHeight="1">
      <c r="A19" s="24" t="s">
        <v>18</v>
      </c>
      <c r="B19" s="28">
        <f>B17/B18</f>
        <v>390</v>
      </c>
    </row>
    <row r="20" spans="1:2" ht="15.75" customHeight="1">
      <c r="A20" s="24" t="s">
        <v>5</v>
      </c>
      <c r="B20" s="63" t="s">
        <v>227</v>
      </c>
    </row>
    <row r="21" spans="1:2" ht="15.75" customHeight="1">
      <c r="A21" s="24" t="s">
        <v>19</v>
      </c>
      <c r="B21" s="19">
        <v>593.20000000000005</v>
      </c>
    </row>
    <row r="22" spans="1:2" ht="15.75" customHeight="1">
      <c r="A22" s="24" t="s">
        <v>20</v>
      </c>
      <c r="B22" s="19">
        <v>3329.9</v>
      </c>
    </row>
    <row r="23" spans="1:2" ht="15.75" customHeight="1">
      <c r="A23" s="24" t="s">
        <v>101</v>
      </c>
      <c r="B23" s="72">
        <f>dc(B5,B6,B9,B10,B11)</f>
        <v>917</v>
      </c>
    </row>
    <row r="24" spans="1:2" ht="15.75" customHeight="1">
      <c r="A24" s="24" t="s">
        <v>21</v>
      </c>
      <c r="B24" s="33">
        <v>0.10919056087732315</v>
      </c>
    </row>
    <row r="25" spans="1:2" ht="15.75" customHeight="1">
      <c r="A25" s="24" t="s">
        <v>22</v>
      </c>
      <c r="B25" s="29">
        <f>GetLinearZ(B16,B6/1000,{"",24,27,30,40,50,60,80},{0.25,3.9,4.1,4.4,5.2,5.8,6.5,7.6},{0.5,2.9,3.1,3.3,3.9,4.5,5,5.9},{1,2.2,2.4,2.6,3.1,3.5,4,4.7},{2,1.8,1.9,2.1,2.5,2.9,3.2,3.9})</f>
        <v>2.4</v>
      </c>
    </row>
    <row r="26" spans="1:2" ht="15.75" customHeight="1">
      <c r="A26" s="24" t="s">
        <v>23</v>
      </c>
      <c r="B26" s="29" t="str">
        <f>IF(B24&lt;B25,"σct≦σbl","σct＞σbl")</f>
        <v>σct≦σbl</v>
      </c>
    </row>
    <row r="27" spans="1:2" ht="15.75" customHeight="1">
      <c r="A27" s="24" t="s">
        <v>24</v>
      </c>
      <c r="B27" s="19">
        <v>433.5</v>
      </c>
    </row>
    <row r="28" spans="1:2" ht="15.75" customHeight="1">
      <c r="A28" s="24" t="s">
        <v>25</v>
      </c>
      <c r="B28" s="19">
        <v>2639.1</v>
      </c>
    </row>
    <row r="29" spans="1:2" ht="15.75" customHeight="1">
      <c r="A29" s="24" t="s">
        <v>26</v>
      </c>
      <c r="B29" s="33">
        <v>-1.8297363519668579</v>
      </c>
    </row>
    <row r="30" spans="1:2" ht="15.75" customHeight="1">
      <c r="A30" s="24" t="s">
        <v>27</v>
      </c>
      <c r="B30" s="62">
        <v>140</v>
      </c>
    </row>
    <row r="31" spans="1:2" ht="15.75" customHeight="1">
      <c r="A31" s="24" t="s">
        <v>28</v>
      </c>
      <c r="B31" s="30">
        <f>IF(B24&lt;B25,B29/B30,"")</f>
        <v>-1.3069545371191843E-2</v>
      </c>
    </row>
    <row r="32" spans="1:2" ht="15.75" customHeight="1">
      <c r="A32" s="24" t="s">
        <v>29</v>
      </c>
      <c r="B32" s="29" t="str">
        <f>IF(B31&lt;1,"OK","")</f>
        <v>OK</v>
      </c>
    </row>
    <row r="33" spans="1:2" ht="15.75" customHeight="1">
      <c r="A33" s="24" t="s">
        <v>30</v>
      </c>
      <c r="B33" s="33"/>
    </row>
    <row r="34" spans="1:2" ht="15.75" customHeight="1">
      <c r="A34" s="24" t="s">
        <v>31</v>
      </c>
      <c r="B34" s="33"/>
    </row>
    <row r="35" spans="1:2" ht="15.75" customHeight="1">
      <c r="A35" s="24" t="s">
        <v>102</v>
      </c>
      <c r="B35" s="63">
        <v>79</v>
      </c>
    </row>
    <row r="36" spans="1:2" ht="15.75" customHeight="1">
      <c r="A36" s="24" t="s">
        <v>103</v>
      </c>
      <c r="B36" s="63">
        <v>125</v>
      </c>
    </row>
    <row r="37" spans="1:2" ht="15.75" customHeight="1">
      <c r="A37" s="24" t="s">
        <v>32</v>
      </c>
      <c r="B37" s="63">
        <v>32</v>
      </c>
    </row>
    <row r="38" spans="1:2" ht="15.75" customHeight="1">
      <c r="A38" s="24" t="s">
        <v>33</v>
      </c>
      <c r="B38" s="63">
        <v>300</v>
      </c>
    </row>
    <row r="39" spans="1:2" ht="15.75" customHeight="1">
      <c r="A39" s="24" t="s">
        <v>9</v>
      </c>
      <c r="B39" s="67">
        <v>1</v>
      </c>
    </row>
    <row r="40" spans="1:2" ht="15.75" customHeight="1">
      <c r="A40" s="24" t="s">
        <v>10</v>
      </c>
      <c r="B40" s="67">
        <v>1.0409999999999999</v>
      </c>
    </row>
    <row r="41" spans="1:2" ht="15.75" customHeight="1">
      <c r="A41" s="24" t="s">
        <v>104</v>
      </c>
      <c r="B41" s="63">
        <v>1</v>
      </c>
    </row>
    <row r="42" spans="1:2" ht="15.75" customHeight="1">
      <c r="A42" s="24" t="s">
        <v>34</v>
      </c>
      <c r="B42" s="67">
        <v>1</v>
      </c>
    </row>
    <row r="43" spans="1:2" ht="15.75" customHeight="1">
      <c r="A43" s="24" t="s">
        <v>35</v>
      </c>
      <c r="B43" s="62">
        <v>0.85</v>
      </c>
    </row>
    <row r="44" spans="1:2" ht="15.75" customHeight="1">
      <c r="A44" s="24" t="s">
        <v>36</v>
      </c>
      <c r="B44" s="30" t="str">
        <f>IF(B32="OK","",1.1*B39*B40*B42*B43*(4*B35+0.7*(B36-B37))*((B34/200000)+(B38/1000000)))</f>
        <v/>
      </c>
    </row>
    <row r="45" spans="1:2" ht="15.75" customHeight="1">
      <c r="A45" s="24" t="s">
        <v>37</v>
      </c>
      <c r="B45" s="67">
        <v>0.39500000000000002</v>
      </c>
    </row>
    <row r="46" spans="1:2" ht="15.75" customHeight="1">
      <c r="A46" s="24" t="s">
        <v>228</v>
      </c>
      <c r="B46" s="30" t="str">
        <f>IF(B32="OK","",B44/B45)</f>
        <v/>
      </c>
    </row>
    <row r="47" spans="1:2" ht="15.75" customHeight="1">
      <c r="A47" s="25" t="s">
        <v>6</v>
      </c>
      <c r="B47" s="31" t="str">
        <f>IF(B32="OK","",IF(B46&lt;1,"OK","NG"))</f>
        <v/>
      </c>
    </row>
  </sheetData>
  <phoneticPr fontId="2"/>
  <dataValidations count="3">
    <dataValidation type="list" showInputMessage="1" showErrorMessage="1" sqref="B5">
      <formula1>"矩形,円形,Ｔ形,逆T形,小判形"</formula1>
    </dataValidation>
    <dataValidation type="list" allowBlank="1" showInputMessage="1" showErrorMessage="1" sqref="B20">
      <formula1>"一般の環境,腐食性環境,厳しい腐食性"</formula1>
    </dataValidation>
    <dataValidation type="decimal" operator="greaterThanOrEqual" allowBlank="1" showInputMessage="1" showErrorMessage="1" sqref="B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B58"/>
  <sheetViews>
    <sheetView showGridLines="0" view="pageBreakPreview" zoomScale="55" zoomScaleNormal="85" zoomScaleSheetLayoutView="55" workbookViewId="0">
      <selection activeCell="B13" sqref="B13"/>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65</v>
      </c>
    </row>
    <row r="3" spans="1:2" ht="12.75" customHeight="1">
      <c r="A3" s="8" t="s">
        <v>0</v>
      </c>
      <c r="B3" s="64" t="s">
        <v>242</v>
      </c>
    </row>
    <row r="4" spans="1:2" ht="12.75" customHeight="1">
      <c r="A4" s="9" t="s">
        <v>1</v>
      </c>
      <c r="B4" s="63" t="s">
        <v>243</v>
      </c>
    </row>
    <row r="5" spans="1:2" ht="12.75" customHeight="1">
      <c r="A5" s="9" t="s">
        <v>2</v>
      </c>
      <c r="B5" s="18" t="s">
        <v>226</v>
      </c>
    </row>
    <row r="6" spans="1:2" ht="12.75" customHeight="1">
      <c r="A6" s="9" t="s">
        <v>244</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334</v>
      </c>
    </row>
    <row r="11" spans="1:2" ht="12.75" customHeight="1">
      <c r="A11" s="11" t="s">
        <v>42</v>
      </c>
      <c r="B11" s="146">
        <v>90</v>
      </c>
    </row>
    <row r="12" spans="1:2" ht="12.75" customHeight="1">
      <c r="A12" s="11" t="s">
        <v>245</v>
      </c>
      <c r="B12" s="43"/>
    </row>
    <row r="13" spans="1:2" ht="12.75" customHeight="1">
      <c r="A13" s="11" t="s">
        <v>43</v>
      </c>
      <c r="B13" s="43"/>
    </row>
    <row r="14" spans="1:2" ht="12.75" customHeight="1">
      <c r="A14" s="12" t="s">
        <v>66</v>
      </c>
      <c r="B14" s="44"/>
    </row>
    <row r="15" spans="1:2" ht="12.75" customHeight="1">
      <c r="A15" s="10" t="s">
        <v>44</v>
      </c>
      <c r="B15" s="45">
        <v>24</v>
      </c>
    </row>
    <row r="16" spans="1:2" ht="12.75" customHeight="1">
      <c r="A16" s="11" t="s">
        <v>45</v>
      </c>
      <c r="B16" s="46">
        <v>1</v>
      </c>
    </row>
    <row r="17" spans="1:2" ht="12.75" customHeight="1">
      <c r="A17" s="11" t="s">
        <v>46</v>
      </c>
      <c r="B17" s="47">
        <f>B15/B16</f>
        <v>24</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67</v>
      </c>
      <c r="B21" s="68">
        <v>794.4</v>
      </c>
    </row>
    <row r="22" spans="1:2" ht="12.75" customHeight="1">
      <c r="A22" s="11" t="s">
        <v>68</v>
      </c>
      <c r="B22" s="69"/>
    </row>
    <row r="23" spans="1:2" ht="12.75" customHeight="1">
      <c r="A23" s="10" t="s">
        <v>69</v>
      </c>
      <c r="B23" s="68">
        <v>345</v>
      </c>
    </row>
    <row r="24" spans="1:2" ht="12.75" customHeight="1">
      <c r="A24" s="12" t="s">
        <v>70</v>
      </c>
      <c r="B24" s="69"/>
    </row>
    <row r="25" spans="1:2" ht="12.75" customHeight="1">
      <c r="A25" s="10" t="s">
        <v>71</v>
      </c>
      <c r="B25" s="68">
        <v>90</v>
      </c>
    </row>
    <row r="26" spans="1:2" ht="12.75" customHeight="1">
      <c r="A26" s="11" t="s">
        <v>160</v>
      </c>
      <c r="B26" s="70"/>
    </row>
    <row r="27" spans="1:2" ht="12.75" customHeight="1">
      <c r="A27" s="11" t="s">
        <v>72</v>
      </c>
      <c r="B27" s="70">
        <v>125</v>
      </c>
    </row>
    <row r="28" spans="1:2" ht="12.75" customHeight="1">
      <c r="A28" s="12" t="s">
        <v>73</v>
      </c>
      <c r="B28" s="69"/>
    </row>
    <row r="29" spans="1:2" ht="12.75" customHeight="1">
      <c r="A29" s="10" t="s">
        <v>74</v>
      </c>
      <c r="B29" s="45">
        <v>112.4</v>
      </c>
    </row>
    <row r="30" spans="1:2" ht="12.75" customHeight="1">
      <c r="A30" s="12" t="s">
        <v>87</v>
      </c>
      <c r="B30" s="71">
        <v>305.39999999999998</v>
      </c>
    </row>
    <row r="31" spans="1:2" ht="12.75" customHeight="1">
      <c r="A31" s="10" t="s">
        <v>75</v>
      </c>
      <c r="B31" s="45">
        <v>112.4</v>
      </c>
    </row>
    <row r="32" spans="1:2" ht="12.75" customHeight="1">
      <c r="A32" s="12" t="s">
        <v>76</v>
      </c>
      <c r="B32" s="71">
        <v>164.2</v>
      </c>
    </row>
    <row r="33" spans="1:2" ht="12.75" customHeight="1">
      <c r="A33" s="12" t="s">
        <v>77</v>
      </c>
      <c r="B33" s="72">
        <v>141.19999999999999</v>
      </c>
    </row>
    <row r="34" spans="1:2" ht="12.75" customHeight="1">
      <c r="A34" s="10" t="s">
        <v>78</v>
      </c>
      <c r="B34" s="49">
        <f>MIN(0.2*(B17)^(1/3),0.72)</f>
        <v>0.57689982812296337</v>
      </c>
    </row>
    <row r="35" spans="1:2" ht="12.75" customHeight="1">
      <c r="A35" s="11" t="s">
        <v>80</v>
      </c>
      <c r="B35" s="50">
        <f>MIN((1000/dc(B5,B6,B9,B10,B11))^(1/4),1.5)</f>
        <v>1.0486332462152452</v>
      </c>
    </row>
    <row r="36" spans="1:2" ht="12.75" customHeight="1">
      <c r="A36" s="11" t="s">
        <v>79</v>
      </c>
      <c r="B36" s="51">
        <f>Ass(B5,B6,B9,B10)/(B9*dc(B5,B6,B9,B10,B11))</f>
        <v>3.5199418903982768E-3</v>
      </c>
    </row>
    <row r="37" spans="1:2" ht="12.75" customHeight="1">
      <c r="A37" s="12" t="s">
        <v>81</v>
      </c>
      <c r="B37" s="50">
        <f>MIN((100*B36)^(1/3),1.5)</f>
        <v>0.70606578168141332</v>
      </c>
    </row>
    <row r="38" spans="1:2" ht="12.75" customHeight="1">
      <c r="A38" s="14" t="s">
        <v>82</v>
      </c>
      <c r="B38" s="52">
        <v>850.67999267578125</v>
      </c>
    </row>
    <row r="39" spans="1:2" ht="12.75" customHeight="1">
      <c r="A39" s="15" t="s">
        <v>83</v>
      </c>
      <c r="B39" s="53">
        <f>B29*hc(B5,B6,B9)/6000</f>
        <v>17.178466666666669</v>
      </c>
    </row>
    <row r="40" spans="1:2" ht="12.75" customHeight="1">
      <c r="A40" s="16" t="s">
        <v>84</v>
      </c>
      <c r="B40" s="50">
        <f>IF(B29&gt;=0,MIN(1+2*B39/B38,2),MIN(1+4*B39/B38,0))</f>
        <v>1.0403876118271749</v>
      </c>
    </row>
    <row r="41" spans="1:2" ht="12.75" customHeight="1">
      <c r="A41" s="15" t="s">
        <v>85</v>
      </c>
      <c r="B41" s="73">
        <v>1</v>
      </c>
    </row>
    <row r="42" spans="1:2" ht="12.75" customHeight="1">
      <c r="A42" s="17" t="s">
        <v>86</v>
      </c>
      <c r="B42" s="54">
        <f>B35*B37*B40*B34*bc(B5,B6,B9)*dc(B5,B6,B9,B10,B11)/B41/1000</f>
        <v>367.51060747542635</v>
      </c>
    </row>
    <row r="43" spans="1:2" ht="12.75" customHeight="1">
      <c r="A43" s="12" t="s">
        <v>233</v>
      </c>
      <c r="B43" s="56">
        <f>B30/(0.7*B42)</f>
        <v>1.187137746261886</v>
      </c>
    </row>
    <row r="44" spans="1:2" ht="12.75" customHeight="1">
      <c r="A44" s="14" t="s">
        <v>88</v>
      </c>
      <c r="B44" s="52">
        <v>850.67999267578125</v>
      </c>
    </row>
    <row r="45" spans="1:2" ht="12.75" customHeight="1">
      <c r="A45" s="15" t="s">
        <v>83</v>
      </c>
      <c r="B45" s="53">
        <f>IF(B43&lt;1,"",B31*hc(B5,B6,B9)/6000)</f>
        <v>17.178466666666669</v>
      </c>
    </row>
    <row r="46" spans="1:2" ht="12.75" customHeight="1">
      <c r="A46" s="16" t="s">
        <v>89</v>
      </c>
      <c r="B46" s="50">
        <f>IF(B43&lt;1,"",IF(B31&gt;=0,MIN(1+2*B45/B44,2),MIN(1+4*B45/B44,0)))</f>
        <v>1.0403876118271749</v>
      </c>
    </row>
    <row r="47" spans="1:2" ht="12.75" customHeight="1">
      <c r="A47" s="15" t="s">
        <v>90</v>
      </c>
      <c r="B47" s="55">
        <f>IF(B43&lt;1,"",B35*B37*B46*B34*bc(B5,B6,B9)*dc(B5,B6,B9,B10,B11)/B41/1000)</f>
        <v>367.51060747542635</v>
      </c>
    </row>
    <row r="48" spans="1:2" ht="12.75" customHeight="1">
      <c r="A48" s="11" t="s">
        <v>91</v>
      </c>
      <c r="B48" s="73">
        <v>1</v>
      </c>
    </row>
    <row r="49" spans="1:2" ht="12.75" customHeight="1">
      <c r="A49" s="11" t="s">
        <v>92</v>
      </c>
      <c r="B49" s="74">
        <f>IF(B43&lt;1,"",(IF(B27=0,0,B21*B23*(SIN(RADIANS(B25))+COS(RADIANS(B25)))/B27)+IF(B28=0,0,B22*B24*(SIN(RADIANS(B26))+COS(RADIANS(B26)))/B28))*(dc(B5,B6,B9,B10,B11)/1.15)/B48/1000)</f>
        <v>1576.7251200000001</v>
      </c>
    </row>
    <row r="50" spans="1:2" ht="12.75" customHeight="1">
      <c r="A50" s="12" t="s">
        <v>93</v>
      </c>
      <c r="B50" s="75">
        <f>IF(B43&lt;1,"",B47+B49)</f>
        <v>1944.2357274754263</v>
      </c>
    </row>
    <row r="51" spans="1:2" ht="12.75" customHeight="1">
      <c r="A51" s="9" t="s">
        <v>94</v>
      </c>
      <c r="B51" s="73">
        <v>0.5</v>
      </c>
    </row>
    <row r="52" spans="1:2" ht="12.75" customHeight="1">
      <c r="A52" s="9" t="s">
        <v>95</v>
      </c>
      <c r="B52" s="76">
        <f>IF(B43&lt;1,"",((B32+B33-B51*B47)*B27/(B21*(dc(B5,B6,B9,B10,B11)/1.15)*(SIN(RADIANS(B25))+COS(RADIANS(B25)))))*((B32+B47)/(B32+B33+B47))*1000)</f>
        <v>21.031693144366308</v>
      </c>
    </row>
    <row r="53" spans="1:2" ht="12.75" customHeight="1">
      <c r="A53" s="9" t="s">
        <v>96</v>
      </c>
      <c r="B53" s="76" t="str">
        <f>IF(B43&lt;1,"",IF(B22=0,"",((B32+B33-B51*B47)*B27/(B21*(dc(B5,B6,B9,B10,B11)/1.15)*(SIN(RADIANS(B25))+COS(RADIANS(B25)))))*((B32+B47)/(B32+B33+B47))*1000))</f>
        <v/>
      </c>
    </row>
    <row r="54" spans="1:2" ht="12.75" customHeight="1">
      <c r="A54" s="9" t="s">
        <v>97</v>
      </c>
      <c r="B54" s="63" t="s">
        <v>227</v>
      </c>
    </row>
    <row r="55" spans="1:2" ht="12.75" customHeight="1">
      <c r="A55" s="9" t="s">
        <v>98</v>
      </c>
      <c r="B55" s="62">
        <v>120</v>
      </c>
    </row>
    <row r="56" spans="1:2" ht="12.75" customHeight="1">
      <c r="A56" s="9" t="s">
        <v>99</v>
      </c>
      <c r="B56" s="32">
        <f>IF(B43&lt;1,"",B52/B55)</f>
        <v>0.17526410953638591</v>
      </c>
    </row>
    <row r="57" spans="1:2" ht="12.75" customHeight="1">
      <c r="A57" s="9" t="s">
        <v>100</v>
      </c>
      <c r="B57" s="32" t="str">
        <f>IF(B43&lt;1,"",IF(B53="","",B53/B55))</f>
        <v/>
      </c>
    </row>
    <row r="58" spans="1:2" ht="12.75" customHeight="1">
      <c r="A58" s="13" t="s">
        <v>64</v>
      </c>
      <c r="B58" s="31" t="str">
        <f>IF(B43&lt;1,"",IF(MAX(B56:B57)&lt;1,"OK","NG"))</f>
        <v>OK</v>
      </c>
    </row>
  </sheetData>
  <phoneticPr fontId="2"/>
  <dataValidations count="2">
    <dataValidation type="list" showInputMessage="1" showErrorMessage="1" sqref="B5">
      <formula1>"矩形,円形,Ｔ形,逆T形,小判形"</formula1>
    </dataValidation>
    <dataValidation type="list" allowBlank="1" showInputMessage="1" showErrorMessage="1" sqref="B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B33"/>
  <sheetViews>
    <sheetView view="pageBreakPreview" zoomScale="70" zoomScaleNormal="100" zoomScaleSheetLayoutView="70" workbookViewId="0">
      <selection activeCell="B13" sqref="B13"/>
    </sheetView>
  </sheetViews>
  <sheetFormatPr defaultColWidth="13.875" defaultRowHeight="15.75" customHeight="1"/>
  <cols>
    <col min="1" max="1" width="16.625" style="2" bestFit="1" customWidth="1"/>
    <col min="2" max="2" width="12.75" style="1" customWidth="1"/>
    <col min="3" max="16384" width="13.875" style="1"/>
  </cols>
  <sheetData>
    <row r="2" spans="1:2" ht="15.75" customHeight="1">
      <c r="A2" s="1" t="s">
        <v>51</v>
      </c>
    </row>
    <row r="3" spans="1:2" ht="15.75" customHeight="1">
      <c r="A3" s="3" t="s">
        <v>0</v>
      </c>
      <c r="B3" s="64" t="s">
        <v>335</v>
      </c>
    </row>
    <row r="4" spans="1:2" ht="15.75" customHeight="1">
      <c r="A4" s="4" t="s">
        <v>1</v>
      </c>
      <c r="B4" s="63" t="s">
        <v>336</v>
      </c>
    </row>
    <row r="5" spans="1:2" ht="15.75" customHeight="1">
      <c r="A5" s="4" t="s">
        <v>2</v>
      </c>
      <c r="B5" s="18" t="s">
        <v>226</v>
      </c>
    </row>
    <row r="6" spans="1:2" ht="15.75" customHeight="1">
      <c r="A6" s="4" t="s">
        <v>244</v>
      </c>
      <c r="B6" s="18">
        <v>1100</v>
      </c>
    </row>
    <row r="7" spans="1:2" ht="15.75" customHeight="1">
      <c r="A7" s="4" t="s">
        <v>38</v>
      </c>
      <c r="B7" s="18"/>
    </row>
    <row r="8" spans="1:2" ht="15.75" customHeight="1">
      <c r="A8" s="4" t="s">
        <v>39</v>
      </c>
      <c r="B8" s="18"/>
    </row>
    <row r="9" spans="1:2" ht="15.75" customHeight="1">
      <c r="A9" s="4" t="s">
        <v>40</v>
      </c>
      <c r="B9" s="18">
        <v>1000</v>
      </c>
    </row>
    <row r="10" spans="1:2" ht="15.75" customHeight="1">
      <c r="A10" s="4" t="s">
        <v>41</v>
      </c>
      <c r="B10" s="144" t="s">
        <v>339</v>
      </c>
    </row>
    <row r="11" spans="1:2" ht="15.75" customHeight="1">
      <c r="A11" s="4" t="s">
        <v>42</v>
      </c>
      <c r="B11" s="144">
        <v>90</v>
      </c>
    </row>
    <row r="12" spans="1:2" ht="15.75" customHeight="1">
      <c r="A12" s="4" t="s">
        <v>245</v>
      </c>
      <c r="B12" s="18" t="s">
        <v>338</v>
      </c>
    </row>
    <row r="13" spans="1:2" ht="15.75" customHeight="1">
      <c r="A13" s="4" t="s">
        <v>43</v>
      </c>
      <c r="B13" s="18">
        <v>416.3</v>
      </c>
    </row>
    <row r="14" spans="1:2" ht="15.75" customHeight="1">
      <c r="A14" s="4" t="s">
        <v>44</v>
      </c>
      <c r="B14" s="19">
        <v>24</v>
      </c>
    </row>
    <row r="15" spans="1:2" ht="15.75" customHeight="1">
      <c r="A15" s="4" t="s">
        <v>45</v>
      </c>
      <c r="B15" s="20">
        <v>1.3</v>
      </c>
    </row>
    <row r="16" spans="1:2" ht="15.75" customHeight="1">
      <c r="A16" s="4" t="s">
        <v>46</v>
      </c>
      <c r="B16" s="27">
        <f>B14/B15</f>
        <v>18.46153846153846</v>
      </c>
    </row>
    <row r="17" spans="1:2" ht="15.75" customHeight="1">
      <c r="A17" s="4" t="s">
        <v>47</v>
      </c>
      <c r="B17" s="18">
        <v>345</v>
      </c>
    </row>
    <row r="18" spans="1:2" ht="15.75" customHeight="1">
      <c r="A18" s="4" t="s">
        <v>48</v>
      </c>
      <c r="B18" s="20">
        <v>1</v>
      </c>
    </row>
    <row r="19" spans="1:2" ht="15.75" customHeight="1">
      <c r="A19" s="4" t="s">
        <v>49</v>
      </c>
      <c r="B19" s="28">
        <f>B17/B18</f>
        <v>345</v>
      </c>
    </row>
    <row r="20" spans="1:2" ht="15.75" customHeight="1">
      <c r="A20" s="4" t="s">
        <v>50</v>
      </c>
      <c r="B20" s="72">
        <v>413.1</v>
      </c>
    </row>
    <row r="21" spans="1:2" ht="15.75" customHeight="1">
      <c r="A21" s="4" t="s">
        <v>54</v>
      </c>
      <c r="B21" s="19">
        <v>151.80000000000001</v>
      </c>
    </row>
    <row r="22" spans="1:2" ht="15.75" customHeight="1">
      <c r="A22" s="4" t="s">
        <v>53</v>
      </c>
      <c r="B22" s="34">
        <v>10002.650390625</v>
      </c>
    </row>
    <row r="23" spans="1:2" ht="15.75" customHeight="1">
      <c r="A23" s="4" t="s">
        <v>52</v>
      </c>
      <c r="B23" s="32">
        <f>B31*B21/B22</f>
        <v>1.8211173327694202E-2</v>
      </c>
    </row>
    <row r="24" spans="1:2" ht="15.75" customHeight="1">
      <c r="A24" s="4" t="s">
        <v>55</v>
      </c>
      <c r="B24" s="29" t="str">
        <f>IF(B23&lt;1,"OK","NG")</f>
        <v>OK</v>
      </c>
    </row>
    <row r="25" spans="1:2" ht="15.75" customHeight="1">
      <c r="A25" s="4" t="s">
        <v>56</v>
      </c>
      <c r="B25" s="141">
        <v>3.5000001080334187E-3</v>
      </c>
    </row>
    <row r="26" spans="1:2" ht="15.75" customHeight="1">
      <c r="A26" s="4" t="s">
        <v>230</v>
      </c>
      <c r="B26" s="141">
        <v>8.4953261539340019E-3</v>
      </c>
    </row>
    <row r="27" spans="1:2" ht="15.75" customHeight="1">
      <c r="A27" s="4" t="s">
        <v>57</v>
      </c>
      <c r="B27" s="34">
        <v>294.6981201171875</v>
      </c>
    </row>
    <row r="28" spans="1:2" ht="15.75" customHeight="1">
      <c r="A28" s="4" t="s">
        <v>58</v>
      </c>
      <c r="B28" s="34">
        <v>1716.1099853515625</v>
      </c>
    </row>
    <row r="29" spans="1:2" ht="15.75" customHeight="1">
      <c r="A29" s="4" t="s">
        <v>59</v>
      </c>
      <c r="B29" s="62">
        <v>1.1000000000000001</v>
      </c>
    </row>
    <row r="30" spans="1:2" ht="15.75" customHeight="1">
      <c r="A30" s="4" t="s">
        <v>60</v>
      </c>
      <c r="B30" s="77">
        <f>B28/B29</f>
        <v>1560.0999866832385</v>
      </c>
    </row>
    <row r="31" spans="1:2" ht="15.75" customHeight="1">
      <c r="A31" s="4" t="s">
        <v>61</v>
      </c>
      <c r="B31" s="62">
        <v>1.2</v>
      </c>
    </row>
    <row r="32" spans="1:2" ht="15.75" customHeight="1">
      <c r="A32" s="4" t="s">
        <v>62</v>
      </c>
      <c r="B32" s="32">
        <f>B31*B20/B30</f>
        <v>0.31774886496467269</v>
      </c>
    </row>
    <row r="33" spans="1:2" ht="15.75" customHeight="1">
      <c r="A33" s="5" t="s">
        <v>63</v>
      </c>
      <c r="B33" s="31" t="str">
        <f>IF(B32&lt;1,"OK","NG")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zoomScale="70" zoomScaleNormal="115" zoomScaleSheetLayoutView="70" workbookViewId="0">
      <selection activeCell="G39" sqref="G38:G39"/>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118</v>
      </c>
    </row>
    <row r="3" spans="1:2" ht="12.75" customHeight="1">
      <c r="A3" s="8" t="s">
        <v>0</v>
      </c>
      <c r="B3" s="64" t="s">
        <v>242</v>
      </c>
    </row>
    <row r="4" spans="1:2" ht="12.75" customHeight="1">
      <c r="A4" s="9" t="s">
        <v>1</v>
      </c>
      <c r="B4" s="63" t="s">
        <v>243</v>
      </c>
    </row>
    <row r="5" spans="1:2" ht="12.75" customHeight="1">
      <c r="A5" s="9" t="s">
        <v>2</v>
      </c>
      <c r="B5" s="18" t="s">
        <v>226</v>
      </c>
    </row>
    <row r="6" spans="1:2" ht="12.75" customHeight="1">
      <c r="A6" s="9" t="s">
        <v>244</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334</v>
      </c>
    </row>
    <row r="11" spans="1:2" ht="12.75" customHeight="1">
      <c r="A11" s="12" t="s">
        <v>42</v>
      </c>
      <c r="B11" s="146">
        <v>90</v>
      </c>
    </row>
    <row r="12" spans="1:2" ht="12.75" customHeight="1">
      <c r="A12" s="10" t="s">
        <v>245</v>
      </c>
      <c r="B12" s="42" t="s">
        <v>338</v>
      </c>
    </row>
    <row r="13" spans="1:2" ht="12.75" customHeight="1">
      <c r="A13" s="12" t="s">
        <v>43</v>
      </c>
      <c r="B13" s="44">
        <v>233.3</v>
      </c>
    </row>
    <row r="14" spans="1:2" ht="12.75" customHeight="1">
      <c r="A14" s="12" t="s">
        <v>105</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119</v>
      </c>
      <c r="B21" s="78"/>
    </row>
    <row r="22" spans="1:2" ht="12.75" customHeight="1">
      <c r="A22" s="12" t="s">
        <v>120</v>
      </c>
      <c r="B22" s="79"/>
    </row>
    <row r="23" spans="1:2" ht="12.75" customHeight="1">
      <c r="A23" s="9" t="s">
        <v>121</v>
      </c>
      <c r="B23" s="72">
        <v>183.8</v>
      </c>
    </row>
    <row r="24" spans="1:2" ht="12.75" customHeight="1">
      <c r="A24" s="9" t="s">
        <v>113</v>
      </c>
      <c r="B24" s="19">
        <v>139</v>
      </c>
    </row>
    <row r="25" spans="1:2" ht="12.75" customHeight="1">
      <c r="A25" s="9" t="s">
        <v>114</v>
      </c>
      <c r="B25" s="72">
        <v>360.2</v>
      </c>
    </row>
    <row r="26" spans="1:2" ht="12.75" customHeight="1">
      <c r="A26" s="10" t="s">
        <v>56</v>
      </c>
      <c r="B26" s="142">
        <v>3.5000001080334187E-3</v>
      </c>
    </row>
    <row r="27" spans="1:2" ht="12.75" customHeight="1">
      <c r="A27" s="11" t="s">
        <v>122</v>
      </c>
      <c r="B27" s="143">
        <v>1.1495993472635746E-2</v>
      </c>
    </row>
    <row r="28" spans="1:2" ht="12.75" customHeight="1">
      <c r="A28" s="11" t="s">
        <v>123</v>
      </c>
      <c r="B28" s="58">
        <v>193.01821899414062</v>
      </c>
    </row>
    <row r="29" spans="1:2" ht="12.75" customHeight="1">
      <c r="A29" s="12" t="s">
        <v>124</v>
      </c>
      <c r="B29" s="57">
        <v>1002.72998046875</v>
      </c>
    </row>
    <row r="30" spans="1:2" ht="12.75" customHeight="1">
      <c r="A30" s="10" t="s">
        <v>106</v>
      </c>
      <c r="B30" s="68">
        <v>794.4</v>
      </c>
    </row>
    <row r="31" spans="1:2" ht="12.75" customHeight="1">
      <c r="A31" s="11" t="s">
        <v>107</v>
      </c>
      <c r="B31" s="70"/>
    </row>
    <row r="32" spans="1:2" ht="12.75" customHeight="1">
      <c r="A32" s="11" t="s">
        <v>108</v>
      </c>
      <c r="B32" s="70">
        <v>345</v>
      </c>
    </row>
    <row r="33" spans="1:2" ht="12.75" customHeight="1">
      <c r="A33" s="12" t="s">
        <v>109</v>
      </c>
      <c r="B33" s="69"/>
    </row>
    <row r="34" spans="1:2" ht="12.75" customHeight="1">
      <c r="A34" s="10" t="s">
        <v>110</v>
      </c>
      <c r="B34" s="68">
        <v>90</v>
      </c>
    </row>
    <row r="35" spans="1:2" ht="12.75" customHeight="1">
      <c r="A35" s="11" t="s">
        <v>160</v>
      </c>
      <c r="B35" s="70"/>
    </row>
    <row r="36" spans="1:2" ht="12.75" customHeight="1">
      <c r="A36" s="11" t="s">
        <v>111</v>
      </c>
      <c r="B36" s="70">
        <v>125</v>
      </c>
    </row>
    <row r="37" spans="1:2" ht="12.75" customHeight="1">
      <c r="A37" s="11" t="s">
        <v>112</v>
      </c>
      <c r="B37" s="70"/>
    </row>
    <row r="38" spans="1:2" ht="12.75" customHeight="1">
      <c r="A38" s="12" t="s">
        <v>125</v>
      </c>
      <c r="B38" s="59">
        <f>MIN(0.2*(B17)^(1/3),0.72)</f>
        <v>0.528590425204984</v>
      </c>
    </row>
    <row r="39" spans="1:2" ht="12.75" customHeight="1">
      <c r="A39" s="10" t="s">
        <v>115</v>
      </c>
      <c r="B39" s="49">
        <f>MIN((1000/dc(B5,B6,B9,B10,B11))^(1/4),1.5)</f>
        <v>1.0486332462152452</v>
      </c>
    </row>
    <row r="40" spans="1:2" ht="12.75" customHeight="1">
      <c r="A40" s="11" t="s">
        <v>116</v>
      </c>
      <c r="B40" s="51">
        <f>Ass(B5,B6,B9,B10)/(B9*dc(B5,B6,B9,B10,B11))</f>
        <v>3.5199418903982768E-3</v>
      </c>
    </row>
    <row r="41" spans="1:2" ht="12.75" customHeight="1">
      <c r="A41" s="11" t="s">
        <v>117</v>
      </c>
      <c r="B41" s="50">
        <f>MIN((100*B40)^(1/3),1.5)</f>
        <v>0.70606578168141332</v>
      </c>
    </row>
    <row r="42" spans="1:2" ht="12.75" customHeight="1">
      <c r="A42" s="12" t="s">
        <v>126</v>
      </c>
      <c r="B42" s="60">
        <f>B24*hc(B5,B6,B9)/6000</f>
        <v>21.243833333333335</v>
      </c>
    </row>
    <row r="43" spans="1:2" ht="12.75" customHeight="1">
      <c r="A43" s="11" t="s">
        <v>127</v>
      </c>
      <c r="B43" s="80">
        <f>IF(B24&gt;=0,MIN(1+2*B42/B29,2),MIN(1+4*B42/B29,0))</f>
        <v>1.0423719919562042</v>
      </c>
    </row>
    <row r="44" spans="1:2" ht="12.75" customHeight="1">
      <c r="A44" s="11" t="s">
        <v>128</v>
      </c>
      <c r="B44" s="73">
        <v>1.3</v>
      </c>
    </row>
    <row r="45" spans="1:2" ht="12.75" customHeight="1">
      <c r="A45" s="12" t="s">
        <v>129</v>
      </c>
      <c r="B45" s="75">
        <f>B39*B41*B43*B38*bc(B5,B6,B9)*dc(B5,B6,B9,B10,B11)/B44/1000</f>
        <v>259.52127740279229</v>
      </c>
    </row>
    <row r="46" spans="1:2" ht="12.75" customHeight="1">
      <c r="A46" s="10" t="s">
        <v>91</v>
      </c>
      <c r="B46" s="81">
        <v>1.1000000000000001</v>
      </c>
    </row>
    <row r="47" spans="1:2" ht="12.75" customHeight="1">
      <c r="A47" s="11" t="s">
        <v>130</v>
      </c>
      <c r="B47" s="74">
        <f>(IF(B36=0,0,B30*B32*(SIN(RADIANS(B34))+COS(RADIANS(B34)))/B36)+IF(B37=0,0,B31*B33*(SIN(RADIANS(B35))+COS(RADIANS(B35)))/B37))*(dc(B5,B6,B9,B10,B11)/1.15)/B46/1000</f>
        <v>1433.3864727272726</v>
      </c>
    </row>
    <row r="48" spans="1:2" ht="12.75" customHeight="1">
      <c r="A48" s="11" t="s">
        <v>131</v>
      </c>
      <c r="B48" s="74"/>
    </row>
    <row r="49" spans="1:2" ht="12.75" customHeight="1">
      <c r="A49" s="11" t="s">
        <v>93</v>
      </c>
      <c r="B49" s="74">
        <f>B45+B47</f>
        <v>1692.9077501300649</v>
      </c>
    </row>
    <row r="50" spans="1:2" ht="12.75" customHeight="1">
      <c r="A50" s="11" t="s">
        <v>132</v>
      </c>
      <c r="B50" s="73">
        <v>1.2</v>
      </c>
    </row>
    <row r="51" spans="1:2" ht="12.75" customHeight="1">
      <c r="A51" s="12" t="s">
        <v>133</v>
      </c>
      <c r="B51" s="82">
        <f>B50*B25/B49</f>
        <v>0.25532401276253314</v>
      </c>
    </row>
    <row r="52" spans="1:2" ht="12.75" customHeight="1">
      <c r="A52" s="10" t="s">
        <v>55</v>
      </c>
      <c r="B52" s="28" t="str">
        <f>IF(B51&lt;1,"OK","NG")</f>
        <v>OK</v>
      </c>
    </row>
    <row r="53" spans="1:2" ht="12.75" customHeight="1">
      <c r="A53" s="10" t="s">
        <v>134</v>
      </c>
      <c r="B53" s="83">
        <f>MIN(1.25*(B17)^(1/2),7.8)</f>
        <v>5.3708615552957459</v>
      </c>
    </row>
    <row r="54" spans="1:2" ht="12.75" customHeight="1">
      <c r="A54" s="11" t="s">
        <v>135</v>
      </c>
      <c r="B54" s="73">
        <v>1.3</v>
      </c>
    </row>
    <row r="55" spans="1:2" ht="12.75" customHeight="1">
      <c r="A55" s="11" t="s">
        <v>136</v>
      </c>
      <c r="B55" s="74">
        <f>B53*bc(B5,B6,B9)*dc(B5,B6,B9,B10,B11)/B54/1000</f>
        <v>3416.6942355612173</v>
      </c>
    </row>
    <row r="56" spans="1:2" ht="12.75" customHeight="1">
      <c r="A56" s="11" t="s">
        <v>132</v>
      </c>
      <c r="B56" s="73">
        <v>1.2</v>
      </c>
    </row>
    <row r="57" spans="1:2" ht="12.75" customHeight="1">
      <c r="A57" s="11" t="s">
        <v>137</v>
      </c>
      <c r="B57" s="82">
        <f>B56*B25/B55</f>
        <v>0.12650824750462381</v>
      </c>
    </row>
    <row r="58" spans="1:2" ht="12.75" customHeight="1">
      <c r="A58" s="13" t="s">
        <v>138</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zoomScale="70" zoomScaleNormal="100" zoomScaleSheetLayoutView="70" workbookViewId="0"/>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143</v>
      </c>
    </row>
    <row r="3" spans="1:2" ht="15.75" customHeight="1">
      <c r="A3" s="37" t="s">
        <v>0</v>
      </c>
      <c r="B3" s="64" t="s">
        <v>335</v>
      </c>
    </row>
    <row r="4" spans="1:2" ht="15.75" customHeight="1">
      <c r="A4" s="38" t="s">
        <v>1</v>
      </c>
      <c r="B4" s="63" t="s">
        <v>336</v>
      </c>
    </row>
    <row r="5" spans="1:2" ht="15.75" customHeight="1">
      <c r="A5" s="38" t="s">
        <v>2</v>
      </c>
      <c r="B5" s="96" t="s">
        <v>226</v>
      </c>
    </row>
    <row r="6" spans="1:2" ht="15.75" customHeight="1">
      <c r="A6" s="38" t="s">
        <v>244</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337</v>
      </c>
    </row>
    <row r="11" spans="1:2" ht="15.75" customHeight="1">
      <c r="A11" s="38" t="s">
        <v>42</v>
      </c>
      <c r="B11" s="96">
        <v>90</v>
      </c>
    </row>
    <row r="12" spans="1:2" ht="15.75" customHeight="1">
      <c r="A12" s="38" t="s">
        <v>245</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144</v>
      </c>
      <c r="B20" s="63">
        <v>490</v>
      </c>
    </row>
    <row r="21" spans="1:2" ht="15.75" customHeight="1">
      <c r="A21" s="38" t="s">
        <v>145</v>
      </c>
      <c r="B21" s="19">
        <v>173</v>
      </c>
    </row>
    <row r="22" spans="1:2" ht="15.75" customHeight="1">
      <c r="A22" s="38" t="s">
        <v>113</v>
      </c>
      <c r="B22" s="97">
        <v>67.400000000000006</v>
      </c>
    </row>
    <row r="23" spans="1:2" ht="15.75" customHeight="1">
      <c r="A23" s="38" t="s">
        <v>146</v>
      </c>
      <c r="B23" s="33">
        <v>51.914432525634766</v>
      </c>
    </row>
    <row r="24" spans="1:2" ht="15.75" customHeight="1">
      <c r="A24" s="38" t="s">
        <v>147</v>
      </c>
      <c r="B24" s="19">
        <v>177.1</v>
      </c>
    </row>
    <row r="25" spans="1:2" ht="15.75" customHeight="1">
      <c r="A25" s="38" t="s">
        <v>148</v>
      </c>
      <c r="B25" s="97">
        <v>55.5</v>
      </c>
    </row>
    <row r="26" spans="1:2" ht="15.75" customHeight="1">
      <c r="A26" s="38" t="s">
        <v>149</v>
      </c>
      <c r="B26" s="33">
        <v>55.307159423828125</v>
      </c>
    </row>
    <row r="27" spans="1:2" ht="15.75" customHeight="1">
      <c r="A27" s="38" t="s">
        <v>150</v>
      </c>
      <c r="B27" s="136">
        <f>B34*(10^(3.09-0.003*B32))/((2*10^6)^0.12)*(1-(B23/B20))/B36</f>
        <v>157.77927902227881</v>
      </c>
    </row>
    <row r="28" spans="1:2" ht="15.75" customHeight="1">
      <c r="A28" s="38" t="s">
        <v>141</v>
      </c>
      <c r="B28" s="62">
        <v>1</v>
      </c>
    </row>
    <row r="29" spans="1:2" ht="15.75" customHeight="1">
      <c r="A29" s="140" t="s">
        <v>151</v>
      </c>
      <c r="B29" s="137">
        <f>B38*B26/(B27/B28)</f>
        <v>0.35053499906041924</v>
      </c>
    </row>
    <row r="30" spans="1:2" ht="15.75" customHeight="1">
      <c r="A30" s="38" t="s">
        <v>152</v>
      </c>
      <c r="B30" s="92">
        <f>IF(B29&lt;=1,0.06,0.12)</f>
        <v>0.06</v>
      </c>
    </row>
    <row r="31" spans="1:2" ht="15.75" customHeight="1">
      <c r="A31" s="38" t="s">
        <v>153</v>
      </c>
      <c r="B31" s="63">
        <v>31900</v>
      </c>
    </row>
    <row r="32" spans="1:2" ht="15.75" customHeight="1">
      <c r="A32" s="38" t="s">
        <v>154</v>
      </c>
      <c r="B32" s="63">
        <v>22</v>
      </c>
    </row>
    <row r="33" spans="1:2" ht="15.75" customHeight="1">
      <c r="A33" s="38" t="s">
        <v>163</v>
      </c>
      <c r="B33" s="138">
        <f>IF(B29&lt;=1,2.71-0.003*B32,3.09-0.003*B32)</f>
        <v>2.6440000000000001</v>
      </c>
    </row>
    <row r="34" spans="1:2" ht="15.75" customHeight="1">
      <c r="A34" s="38" t="s">
        <v>234</v>
      </c>
      <c r="B34" s="62">
        <v>1</v>
      </c>
    </row>
    <row r="35" spans="1:2" ht="15.75" customHeight="1">
      <c r="A35" s="38" t="s">
        <v>235</v>
      </c>
      <c r="B35" s="62">
        <v>1</v>
      </c>
    </row>
    <row r="36" spans="1:2" ht="15.75" customHeight="1">
      <c r="A36" s="38" t="s">
        <v>155</v>
      </c>
      <c r="B36" s="62">
        <v>1.05</v>
      </c>
    </row>
    <row r="37" spans="1:2" ht="15.75" customHeight="1">
      <c r="A37" s="38" t="s">
        <v>156</v>
      </c>
      <c r="B37" s="139">
        <f>B34*B35*(10^B33)/(B31^B30)*(1-(B23/B20))/B36</f>
        <v>201.3474462548989</v>
      </c>
    </row>
    <row r="38" spans="1:2" ht="15.75" customHeight="1">
      <c r="A38" s="38" t="s">
        <v>142</v>
      </c>
      <c r="B38" s="62">
        <v>1</v>
      </c>
    </row>
    <row r="39" spans="1:2" ht="15.75" customHeight="1">
      <c r="A39" s="140" t="s">
        <v>157</v>
      </c>
      <c r="B39" s="94">
        <f>B38*B26/(B37/B28)</f>
        <v>0.27468517953692434</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zoomScale="70" zoomScaleNormal="115" zoomScaleSheetLayoutView="70" workbookViewId="0">
      <selection activeCell="B13" sqref="B1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159</v>
      </c>
    </row>
    <row r="3" spans="1:2">
      <c r="A3" s="117" t="s">
        <v>0</v>
      </c>
      <c r="B3" s="65" t="s">
        <v>242</v>
      </c>
    </row>
    <row r="4" spans="1:2">
      <c r="A4" s="118" t="s">
        <v>1</v>
      </c>
      <c r="B4" s="66" t="s">
        <v>243</v>
      </c>
    </row>
    <row r="5" spans="1:2">
      <c r="A5" s="118" t="s">
        <v>2</v>
      </c>
      <c r="B5" s="128" t="s">
        <v>226</v>
      </c>
    </row>
    <row r="6" spans="1:2">
      <c r="A6" s="118" t="s">
        <v>244</v>
      </c>
      <c r="B6" s="128">
        <v>917</v>
      </c>
    </row>
    <row r="7" spans="1:2">
      <c r="A7" s="118" t="s">
        <v>168</v>
      </c>
      <c r="B7" s="128"/>
    </row>
    <row r="8" spans="1:2">
      <c r="A8" s="118" t="s">
        <v>169</v>
      </c>
      <c r="B8" s="128"/>
    </row>
    <row r="9" spans="1:2">
      <c r="A9" s="118" t="s">
        <v>170</v>
      </c>
      <c r="B9" s="128">
        <v>1000</v>
      </c>
    </row>
    <row r="10" spans="1:2">
      <c r="A10" s="119" t="s">
        <v>171</v>
      </c>
      <c r="B10" s="129" t="s">
        <v>340</v>
      </c>
    </row>
    <row r="11" spans="1:2">
      <c r="A11" s="120" t="s">
        <v>172</v>
      </c>
      <c r="B11" s="130">
        <v>90</v>
      </c>
    </row>
    <row r="12" spans="1:2">
      <c r="A12" s="120" t="s">
        <v>245</v>
      </c>
      <c r="B12" s="130"/>
    </row>
    <row r="13" spans="1:2">
      <c r="A13" s="120" t="s">
        <v>173</v>
      </c>
      <c r="B13" s="130"/>
    </row>
    <row r="14" spans="1:2">
      <c r="A14" s="120" t="s">
        <v>174</v>
      </c>
      <c r="B14" s="131"/>
    </row>
    <row r="15" spans="1:2">
      <c r="A15" s="119" t="s">
        <v>175</v>
      </c>
      <c r="B15" s="132">
        <v>24</v>
      </c>
    </row>
    <row r="16" spans="1:2">
      <c r="A16" s="120" t="s">
        <v>176</v>
      </c>
      <c r="B16" s="133">
        <v>1.3</v>
      </c>
    </row>
    <row r="17" spans="1:2">
      <c r="A17" s="120" t="s">
        <v>177</v>
      </c>
      <c r="B17" s="100">
        <f>B15/B16</f>
        <v>18.46153846153846</v>
      </c>
    </row>
    <row r="18" spans="1:2">
      <c r="A18" s="120" t="s">
        <v>178</v>
      </c>
      <c r="B18" s="130">
        <v>345</v>
      </c>
    </row>
    <row r="19" spans="1:2">
      <c r="A19" s="120" t="s">
        <v>158</v>
      </c>
      <c r="B19" s="133">
        <v>1.05</v>
      </c>
    </row>
    <row r="20" spans="1:2">
      <c r="A20" s="120" t="s">
        <v>179</v>
      </c>
      <c r="B20" s="101">
        <f>B18/B19</f>
        <v>328.57142857142856</v>
      </c>
    </row>
    <row r="21" spans="1:2">
      <c r="A21" s="119" t="s">
        <v>180</v>
      </c>
      <c r="B21" s="86">
        <v>794.4</v>
      </c>
    </row>
    <row r="22" spans="1:2">
      <c r="A22" s="120" t="s">
        <v>181</v>
      </c>
      <c r="B22" s="87"/>
    </row>
    <row r="23" spans="1:2">
      <c r="A23" s="120" t="s">
        <v>182</v>
      </c>
      <c r="B23" s="87">
        <v>345</v>
      </c>
    </row>
    <row r="24" spans="1:2">
      <c r="A24" s="120" t="s">
        <v>183</v>
      </c>
      <c r="B24" s="87">
        <v>490</v>
      </c>
    </row>
    <row r="25" spans="1:2">
      <c r="A25" s="120" t="s">
        <v>184</v>
      </c>
      <c r="B25" s="87"/>
    </row>
    <row r="26" spans="1:2">
      <c r="A26" s="120" t="s">
        <v>185</v>
      </c>
      <c r="B26" s="87"/>
    </row>
    <row r="27" spans="1:2">
      <c r="A27" s="120" t="s">
        <v>186</v>
      </c>
      <c r="B27" s="87">
        <v>90</v>
      </c>
    </row>
    <row r="28" spans="1:2">
      <c r="A28" s="120" t="s">
        <v>187</v>
      </c>
      <c r="B28" s="87"/>
    </row>
    <row r="29" spans="1:2">
      <c r="A29" s="120" t="s">
        <v>188</v>
      </c>
      <c r="B29" s="87">
        <v>125</v>
      </c>
    </row>
    <row r="30" spans="1:2">
      <c r="A30" s="121" t="s">
        <v>189</v>
      </c>
      <c r="B30" s="88"/>
    </row>
    <row r="31" spans="1:2" s="21" customFormat="1" ht="11.25">
      <c r="A31" s="119" t="s">
        <v>237</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190</v>
      </c>
      <c r="B34" s="102">
        <f>MIN(0.2*(B17)^(1/3),0.72)</f>
        <v>0.528590425204984</v>
      </c>
    </row>
    <row r="35" spans="1:2" s="21" customFormat="1" ht="11.25">
      <c r="A35" s="120" t="s">
        <v>191</v>
      </c>
      <c r="B35" s="103">
        <f>MIN((1000/dc(B5,B6,B9,B10,B11))^(1/4),1.5)</f>
        <v>1.0486332462152452</v>
      </c>
    </row>
    <row r="36" spans="1:2" s="21" customFormat="1" ht="11.25">
      <c r="A36" s="120" t="s">
        <v>192</v>
      </c>
      <c r="B36" s="104">
        <f>Ass(B5,B6,B9,B10)/(B9*dc(B5,B6,B9,B10,B11))</f>
        <v>3.5199418903982768E-3</v>
      </c>
    </row>
    <row r="37" spans="1:2" s="21" customFormat="1" ht="11.25">
      <c r="A37" s="120" t="s">
        <v>193</v>
      </c>
      <c r="B37" s="103">
        <f>MIN((100*B36)^(1/3),1.5)</f>
        <v>0.70606578168141332</v>
      </c>
    </row>
    <row r="38" spans="1:2" s="21" customFormat="1" ht="11.25">
      <c r="A38" s="119" t="s">
        <v>241</v>
      </c>
      <c r="B38" s="135">
        <v>787.58001708984375</v>
      </c>
    </row>
    <row r="39" spans="1:2" s="21" customFormat="1" ht="11.25">
      <c r="A39" s="120" t="s">
        <v>236</v>
      </c>
      <c r="B39" s="105">
        <f>B31*hc(B5,B6,B9)/6000</f>
        <v>10.300966666666667</v>
      </c>
    </row>
    <row r="40" spans="1:2" s="21" customFormat="1" ht="11.25">
      <c r="A40" s="122" t="s">
        <v>238</v>
      </c>
      <c r="B40" s="103">
        <f>IF(B31&gt;=0,MIN(1+2*B39/B38,2),MIN(1+4*B39/B38,0))</f>
        <v>1.0261585272433127</v>
      </c>
    </row>
    <row r="41" spans="1:2" s="21" customFormat="1" ht="11.25">
      <c r="A41" s="120" t="s">
        <v>239</v>
      </c>
      <c r="B41" s="89">
        <v>1.3</v>
      </c>
    </row>
    <row r="42" spans="1:2" s="21" customFormat="1" ht="11.25">
      <c r="A42" s="120" t="s">
        <v>240</v>
      </c>
      <c r="B42" s="75">
        <f>B35*B37*B40*B34*bc(B5,B6,B9)*dc(B5,B6,B9,B10,B11)/B41/1000</f>
        <v>255.48458118888303</v>
      </c>
    </row>
    <row r="43" spans="1:2">
      <c r="A43" s="119" t="s">
        <v>195</v>
      </c>
      <c r="B43" s="90">
        <v>0.5</v>
      </c>
    </row>
    <row r="44" spans="1:2">
      <c r="A44" s="120" t="s">
        <v>196</v>
      </c>
      <c r="B44" s="106">
        <f>((B32+B33-B43*B42)*B29/(B21*(dc(B5,B6,B9,B10,B11)/1.15)*(SIN(RADIANS(B27))+COS(RADIANS(B27)))))*(B33/(B32+B33+B42))*1000</f>
        <v>9.7860709927511795</v>
      </c>
    </row>
    <row r="45" spans="1:2">
      <c r="A45" s="120" t="s">
        <v>197</v>
      </c>
      <c r="B45" s="106" t="str">
        <f>IF(B22=0,"",((B32+B33-B43*B42)*B29/(B21*(dc(B5,B6,B9,B10,B11)/1.15)*(SIN(RADIANS(B27))+COS(RADIANS(B27)))))*(B33/(B32+B33+B42))*1000)</f>
        <v/>
      </c>
    </row>
    <row r="46" spans="1:2">
      <c r="A46" s="120" t="s">
        <v>198</v>
      </c>
      <c r="B46" s="106">
        <f>((B32+B33-B43*B42)*B29/(B21*(dc(B5,B6,B9,B10,B11)/1.15)*(SIN(RADIANS(B27))+COS(RADIANS(B27)))))*((B32+B42)/(B32+B33+B42))*1000</f>
        <v>29.08684919318312</v>
      </c>
    </row>
    <row r="47" spans="1:2">
      <c r="A47" s="120" t="s">
        <v>199</v>
      </c>
      <c r="B47" s="106" t="str">
        <f>IF(B22=0,"",((B32+B33-B43*B42)*B29/(B21*(dc(B5,B6,B9,B10,B11)/1.15)*(SIN(RADIANS(B27))+COS(RADIANS(B27)))))*((B32+B42)/(B32+B33+B42))*1000)</f>
        <v/>
      </c>
    </row>
    <row r="48" spans="1:2">
      <c r="A48" s="120" t="s">
        <v>200</v>
      </c>
      <c r="B48" s="106">
        <f>B61*(10^(3.09-0.003*B57))/((2*10^6)^0.12)*(1-(B44/B24))/B65</f>
        <v>117.17612478405442</v>
      </c>
    </row>
    <row r="49" spans="1:2">
      <c r="A49" s="120" t="s">
        <v>201</v>
      </c>
      <c r="B49" s="106" t="str">
        <f>IF(B22=0,"",B61*(10^(3.09-0.003*B58))/((2*10^6)^0.12)*(1-(B45/B26))/B65)</f>
        <v/>
      </c>
    </row>
    <row r="50" spans="1:2">
      <c r="A50" s="120" t="s">
        <v>194</v>
      </c>
      <c r="B50" s="89">
        <v>1</v>
      </c>
    </row>
    <row r="51" spans="1:2" s="108" customFormat="1">
      <c r="A51" s="123" t="s">
        <v>202</v>
      </c>
      <c r="B51" s="107">
        <f>B68*B44/(B48/B50)</f>
        <v>8.3515912569954595E-2</v>
      </c>
    </row>
    <row r="52" spans="1:2" s="108" customFormat="1">
      <c r="A52" s="124" t="s">
        <v>203</v>
      </c>
      <c r="B52" s="109" t="str">
        <f>IF(B22=0,"",B68*B45/(B49/B50))</f>
        <v/>
      </c>
    </row>
    <row r="53" spans="1:2">
      <c r="A53" s="119" t="s">
        <v>204</v>
      </c>
      <c r="B53" s="110">
        <f>IF(B51&lt;=1,0.06,0.12)</f>
        <v>0.06</v>
      </c>
    </row>
    <row r="54" spans="1:2">
      <c r="A54" s="120" t="s">
        <v>205</v>
      </c>
      <c r="B54" s="101" t="str">
        <f>IF(B22=0,"",IF(B52&lt;=1,0.06,0.12))</f>
        <v/>
      </c>
    </row>
    <row r="55" spans="1:2" s="108" customFormat="1">
      <c r="A55" s="125" t="s">
        <v>161</v>
      </c>
      <c r="B55" s="87">
        <v>56400</v>
      </c>
    </row>
    <row r="56" spans="1:2" s="108" customFormat="1">
      <c r="A56" s="125" t="s">
        <v>162</v>
      </c>
      <c r="B56" s="87"/>
    </row>
    <row r="57" spans="1:2" s="108" customFormat="1">
      <c r="A57" s="125" t="s">
        <v>206</v>
      </c>
      <c r="B57" s="87">
        <v>16</v>
      </c>
    </row>
    <row r="58" spans="1:2" s="108" customFormat="1">
      <c r="A58" s="126" t="s">
        <v>207</v>
      </c>
      <c r="B58" s="88"/>
    </row>
    <row r="59" spans="1:2">
      <c r="A59" s="119" t="s">
        <v>208</v>
      </c>
      <c r="B59" s="111">
        <f>IF(B51&lt;=1,2.71-0.003*B57,3.09-0.003*B57)</f>
        <v>2.6619999999999999</v>
      </c>
    </row>
    <row r="60" spans="1:2">
      <c r="A60" s="120" t="s">
        <v>209</v>
      </c>
      <c r="B60" s="112" t="str">
        <f>IF(B22=0,"",IF(B52&lt;=1,2.71-0.003*B58,3.09-0.003*B58))</f>
        <v/>
      </c>
    </row>
    <row r="61" spans="1:2" s="108" customFormat="1">
      <c r="A61" s="125" t="s">
        <v>164</v>
      </c>
      <c r="B61" s="89">
        <v>0.65</v>
      </c>
    </row>
    <row r="62" spans="1:2" s="108" customFormat="1">
      <c r="A62" s="125" t="s">
        <v>165</v>
      </c>
      <c r="B62" s="89"/>
    </row>
    <row r="63" spans="1:2" s="108" customFormat="1">
      <c r="A63" s="125" t="s">
        <v>166</v>
      </c>
      <c r="B63" s="89">
        <v>1</v>
      </c>
    </row>
    <row r="64" spans="1:2" s="108" customFormat="1">
      <c r="A64" s="125" t="s">
        <v>167</v>
      </c>
      <c r="B64" s="89"/>
    </row>
    <row r="65" spans="1:2">
      <c r="A65" s="120" t="s">
        <v>210</v>
      </c>
      <c r="B65" s="89">
        <v>1.05</v>
      </c>
    </row>
    <row r="66" spans="1:2">
      <c r="A66" s="120" t="s">
        <v>211</v>
      </c>
      <c r="B66" s="106">
        <f>B61*B63*(10^B59)/(B55^B53)*(1-(B44/B24))/B65</f>
        <v>144.50603479677056</v>
      </c>
    </row>
    <row r="67" spans="1:2">
      <c r="A67" s="120" t="s">
        <v>212</v>
      </c>
      <c r="B67" s="106" t="str">
        <f>IF(B22=0,"",B62*B64*(10^B60)/(B56^B54)*(1-(B45/B24))/B65)</f>
        <v/>
      </c>
    </row>
    <row r="68" spans="1:2">
      <c r="A68" s="120" t="s">
        <v>213</v>
      </c>
      <c r="B68" s="89">
        <v>1</v>
      </c>
    </row>
    <row r="69" spans="1:2" s="108" customFormat="1">
      <c r="A69" s="123" t="s">
        <v>214</v>
      </c>
      <c r="B69" s="103">
        <f>B68*B46/(B66/B50)</f>
        <v>0.2012846676894158</v>
      </c>
    </row>
    <row r="70" spans="1:2" s="108" customFormat="1">
      <c r="A70" s="124" t="s">
        <v>215</v>
      </c>
      <c r="B70" s="113" t="str">
        <f>IF(B22=0,"",B68*B47/(B67/B50))</f>
        <v/>
      </c>
    </row>
    <row r="71" spans="1:2">
      <c r="A71" s="127" t="s">
        <v>216</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zoomScale="85" zoomScaleNormal="100" zoomScaleSheetLayoutView="85" workbookViewId="0">
      <selection activeCell="C6" sqref="C6"/>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217</v>
      </c>
    </row>
    <row r="3" spans="1:2" ht="15.75" customHeight="1">
      <c r="A3" s="37" t="s">
        <v>0</v>
      </c>
      <c r="B3" s="64" t="s">
        <v>335</v>
      </c>
    </row>
    <row r="4" spans="1:2" ht="15.75" customHeight="1">
      <c r="A4" s="38" t="s">
        <v>1</v>
      </c>
      <c r="B4" s="63" t="s">
        <v>336</v>
      </c>
    </row>
    <row r="5" spans="1:2" ht="15.75" customHeight="1">
      <c r="A5" s="38" t="s">
        <v>2</v>
      </c>
      <c r="B5" s="96" t="s">
        <v>226</v>
      </c>
    </row>
    <row r="6" spans="1:2" ht="15.75" customHeight="1">
      <c r="A6" s="38" t="s">
        <v>244</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334</v>
      </c>
    </row>
    <row r="11" spans="1:2" ht="15.75" customHeight="1">
      <c r="A11" s="38" t="s">
        <v>42</v>
      </c>
      <c r="B11" s="144">
        <v>90</v>
      </c>
    </row>
    <row r="12" spans="1:2" ht="15.75" customHeight="1">
      <c r="A12" s="38" t="s">
        <v>222</v>
      </c>
      <c r="B12" s="63" t="s">
        <v>231</v>
      </c>
    </row>
    <row r="13" spans="1:2" ht="15.75" customHeight="1">
      <c r="A13" s="38" t="s">
        <v>223</v>
      </c>
      <c r="B13" s="63" t="s">
        <v>232</v>
      </c>
    </row>
    <row r="14" spans="1:2" ht="15.75" customHeight="1">
      <c r="A14" s="38" t="s">
        <v>245</v>
      </c>
      <c r="B14" s="18" t="s">
        <v>338</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113</v>
      </c>
      <c r="B23" s="97">
        <v>96.8</v>
      </c>
    </row>
    <row r="24" spans="1:2" ht="15.75" customHeight="1">
      <c r="A24" s="38" t="s">
        <v>221</v>
      </c>
      <c r="B24" s="141">
        <v>7.5212586671113968E-4</v>
      </c>
    </row>
    <row r="25" spans="1:2" ht="15.75" customHeight="1">
      <c r="A25" s="38" t="s">
        <v>139</v>
      </c>
      <c r="B25" s="141">
        <v>1.7249999800696969E-3</v>
      </c>
    </row>
    <row r="26" spans="1:2" ht="15.75" customHeight="1">
      <c r="A26" s="38" t="s">
        <v>140</v>
      </c>
      <c r="B26" s="41">
        <v>306.66473388671875</v>
      </c>
    </row>
    <row r="27" spans="1:2" ht="15.75" customHeight="1">
      <c r="A27" s="38" t="s">
        <v>218</v>
      </c>
      <c r="B27" s="41">
        <v>1100.530029296875</v>
      </c>
    </row>
    <row r="28" spans="1:2" ht="15.75" customHeight="1">
      <c r="A28" s="38" t="s">
        <v>141</v>
      </c>
      <c r="B28" s="62">
        <v>1</v>
      </c>
    </row>
    <row r="29" spans="1:2" ht="15.75" customHeight="1">
      <c r="A29" s="38" t="s">
        <v>220</v>
      </c>
      <c r="B29" s="93">
        <f>B27/B28</f>
        <v>1100.530029296875</v>
      </c>
    </row>
    <row r="30" spans="1:2" ht="15.75" customHeight="1">
      <c r="A30" s="38" t="s">
        <v>142</v>
      </c>
      <c r="B30" s="62">
        <v>1</v>
      </c>
    </row>
    <row r="31" spans="1:2" ht="15.75" customHeight="1">
      <c r="A31" s="38" t="s">
        <v>219</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95229043-683E-466E-A344-C4C73A575A45}">
  <ds:schemaRefs>
    <ds:schemaRef ds:uri="http://schemas.microsoft.com/SolverFoundationForExcel/Version"/>
  </ds:schemaRefs>
</ds:datastoreItem>
</file>

<file path=customXml/itemProps2.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ご利用方法</vt:lpstr>
      <vt:lpstr>耐久性 曲げひび割れ</vt:lpstr>
      <vt:lpstr>耐久性 せん断ひび割れ</vt:lpstr>
      <vt:lpstr>安全性破壊 曲げモーメント</vt:lpstr>
      <vt:lpstr>安全性破壊 せん断力</vt:lpstr>
      <vt:lpstr>安全性疲労破壊 曲げモーメント</vt:lpstr>
      <vt:lpstr>安全性疲労破壊 せん断力</vt:lpstr>
      <vt:lpstr>復旧性 曲げモーメント</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sasaco</cp:lastModifiedBy>
  <cp:lastPrinted>2017-04-24T06:53:21Z</cp:lastPrinted>
  <dcterms:created xsi:type="dcterms:W3CDTF">2014-11-11T12:34:56Z</dcterms:created>
  <dcterms:modified xsi:type="dcterms:W3CDTF">2017-08-26T01:22:31Z</dcterms:modified>
</cp:coreProperties>
</file>